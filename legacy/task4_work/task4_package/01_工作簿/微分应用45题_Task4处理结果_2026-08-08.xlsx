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e36094f79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af7514d65f94fd1"/>
    <x:sheet xmlns:r="http://schemas.openxmlformats.org/officeDocument/2006/relationships" name="Task4处理清单" sheetId="2" r:id="Ree6664cd071240de"/>
    <x:sheet xmlns:r="http://schemas.openxmlformats.org/officeDocument/2006/relationships" name="45题总表" sheetId="3" r:id="R1114c1fea5e4424a"/>
    <x:sheet xmlns:r="http://schemas.openxmlformats.org/officeDocument/2006/relationships" name="标签与难度" sheetId="4" r:id="Rfed34a6efd094bea"/>
    <x:sheet xmlns:r="http://schemas.openxmlformats.org/officeDocument/2006/relationships" name="验收结果" sheetId="5" r:id="Rd3c24750b519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7"/>
      <x:color rgb="FFFFFFFF"/>
      <x:name val="Microsoft YaHei"/>
    </x:font>
    <x:font>
      <x:b/>
      <x:sz val="11"/>
      <x:color rgb="FF193B64"/>
      <x:name val="Microsoft YaHei"/>
    </x:font>
    <x:font>
      <x:b/>
      <x:sz val="14"/>
      <x:color rgb="FF193B64"/>
      <x:name val="Microsoft YaHei"/>
    </x:font>
    <x:font>
      <x:sz val="9"/>
      <x:color rgb="FF263445"/>
      <x:name val="Microsoft YaHei"/>
    </x:font>
    <x:font>
      <x:b/>
      <x:sz val="9"/>
      <x:color rgb="FF193B64"/>
      <x:name val="Microsoft YaHei"/>
    </x:font>
    <x:font>
      <x:b/>
      <x:sz val="10"/>
      <x:color rgb="FFFFFFFF"/>
      <x:name val="Microsoft YaHei"/>
    </x:font>
    <x:font>
      <x:b/>
      <x:sz val="9"/>
      <x:color rgb="FF236B3B"/>
      <x:name val="Microsoft YaHei"/>
    </x:font>
    <x:font>
      <x:b/>
      <x:sz val="9"/>
      <x:color rgb="FF8A6500"/>
      <x:name val="Microsoft YaHei"/>
    </x:font>
    <x:font>
      <x:b/>
      <x:sz val="11"/>
      <x:color rgb="FF236B3B"/>
      <x:name val="Microsoft YaHei"/>
    </x:font>
    <x:font>
      <x:sz val="11"/>
      <x:color rgb="FF263445"/>
      <x:name val="Microsoft YaHei"/>
    </x:font>
    <x:font>
      <x:sz val="10"/>
      <x:color rgb="FF6B4F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93B64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4F7"/>
      </x:patternFill>
    </x:fill>
  </x:fills>
  <x:borders count="11">
    <x:border/>
    <x:border>
      <x:right style="thin">
        <x:color rgb="FFD5DCE5"/>
      </x:right>
      <x:bottom style="thin">
        <x:color rgb="FFD5DCE5"/>
      </x:bottom>
    </x:border>
    <x:border>
      <x:left style="thin">
        <x:color rgb="FFD5DCE5"/>
      </x:left>
      <x:right style="thin">
        <x:color rgb="FFD5DCE5"/>
      </x:right>
      <x:bottom style="thin">
        <x:color rgb="FFD5DCE5"/>
      </x:bottom>
    </x:border>
    <x:border>
      <x:left style="thin">
        <x:color rgb="FFD5DCE5"/>
      </x:left>
      <x:bottom style="thin">
        <x:color rgb="FFD5DCE5"/>
      </x:bottom>
    </x:border>
    <x:border>
      <x:right style="thin">
        <x:color rgb="FFD5DCE5"/>
      </x:right>
      <x:top style="thin">
        <x:color rgb="FFD5DCE5"/>
      </x:top>
      <x:bottom style="thin">
        <x:color rgb="FFD5DCE5"/>
      </x:bottom>
    </x:border>
    <x:border>
      <x:left style="thin">
        <x:color rgb="FFD5DCE5"/>
      </x:left>
      <x:right style="thin">
        <x:color rgb="FFD5DCE5"/>
      </x:right>
      <x:top style="thin">
        <x:color rgb="FFD5DCE5"/>
      </x:top>
      <x:bottom style="thin">
        <x:color rgb="FFD5DCE5"/>
      </x:bottom>
    </x:border>
    <x:border>
      <x:left style="thin">
        <x:color rgb="FFD5DCE5"/>
      </x:left>
      <x:top style="thin">
        <x:color rgb="FFD5DCE5"/>
      </x:top>
      <x:bottom style="thin">
        <x:color rgb="FFD5DCE5"/>
      </x:bottom>
    </x:border>
    <x:border>
      <x:right style="thin">
        <x:color rgb="FFD5DCE5"/>
      </x:right>
      <x:top style="thin">
        <x:color rgb="FFD5DCE5"/>
      </x:top>
    </x:border>
    <x:border>
      <x:left style="thin">
        <x:color rgb="FFD5DCE5"/>
      </x:left>
      <x:right style="thin">
        <x:color rgb="FFD5DCE5"/>
      </x:right>
      <x:top style="thin">
        <x:color rgb="FFD5DCE5"/>
      </x:top>
    </x:border>
    <x:border>
      <x:left style="thin">
        <x:color rgb="FFD5DCE5"/>
      </x:left>
      <x:top style="thin">
        <x:color rgb="FFD5DCE5"/>
      </x:top>
    </x:border>
    <x:border>
      <x:top style="thin">
        <x:color rgb="FFD5DCE5"/>
      </x:top>
      <x:bottom style="thin">
        <x:color rgb="FFD5DCE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6" xfId="0" applyNumberFormat="1" applyFont="1" applyFill="1" applyBorder="1"/>
    <x:xf numFmtId="0" fontId="6" fillId="2" borderId="10" xfId="0" applyNumberFormat="1" applyFont="1" applyFill="1" applyBorder="1"/>
    <x:xf numFmtId="0" fontId="6" fillId="2" borderId="4" xfId="0" applyNumberFormat="1" applyFont="1" applyFill="1" applyBorder="1"/>
    <x:xf numFmtId="0" fontId="6" fillId="2" borderId="6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horizontal="center" wrapText="1"/>
    </x:xf>
    <x:xf numFmtId="0" fontId="6" fillId="2" borderId="10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10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f414dcdad4fbc" /><Relationship Type="http://schemas.openxmlformats.org/officeDocument/2006/relationships/theme" Target="/xl/theme/theme1.xml" Id="R15a59def4df74fcd" /><Relationship Type="http://schemas.openxmlformats.org/officeDocument/2006/relationships/sharedStrings" Target="/xl/sharedStrings.xml" Id="R70852cf14b804444" /><Relationship Type="http://schemas.openxmlformats.org/officeDocument/2006/relationships/worksheet" Target="/xl/worksheets/sheet1.xml" Id="R1af7514d65f94fd1" /><Relationship Type="http://schemas.openxmlformats.org/officeDocument/2006/relationships/worksheet" Target="/xl/worksheets/sheet2.xml" Id="Ree6664cd071240de" /><Relationship Type="http://schemas.openxmlformats.org/officeDocument/2006/relationships/worksheet" Target="/xl/worksheets/sheet3.xml" Id="R1114c1fea5e4424a" /><Relationship Type="http://schemas.openxmlformats.org/officeDocument/2006/relationships/worksheet" Target="/xl/worksheets/sheet4.xml" Id="Rfed34a6efd094bea" /><Relationship Type="http://schemas.openxmlformats.org/officeDocument/2006/relationships/worksheet" Target="/xl/worksheets/sheet5.xml" Id="Rd3c24750b5194354" /></Relationships>
</file>

<file path=xl/tables/table1.xml><?xml version="1.0" encoding="utf-8"?>
<x:table xmlns:x="http://schemas.openxmlformats.org/spreadsheetml/2006/main" id="1" name="Task4ResolvedTable" displayName="Task4ResolvedTable" ref="A3:K24" headerRowCount="1" totalsRowCount="0" totalsRowShown="0">
  <x:tableColumns count="11">
    <x:tableColumn id="1" name="题目ID"/>
    <x:tableColumn id="2" name="分区"/>
    <x:tableColumn id="3" name="处理类别"/>
    <x:tableColumn id="4" name="总分"/>
    <x:tableColumn id="5" name="标签"/>
    <x:tableColumn id="6" name="答案来源文件"/>
    <x:tableColumn id="7" name="答案来源成员"/>
    <x:tableColumn id="8" name="答案成员SHA-256"/>
    <x:tableColumn id="9" name="处理结论"/>
    <x:tableColumn id="10" name="技术状态"/>
    <x:tableColumn id="11" name="Joy审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QuestionsTable" displayName="AllQuestionsTable" ref="A3:K48" headerRowCount="1" totalsRowCount="0" totalsRowShown="0">
  <x:tableColumns count="11">
    <x:tableColumn id="1" name="题目ID"/>
    <x:tableColumn id="2" name="分区"/>
    <x:tableColumn id="3" name="原题号"/>
    <x:tableColumn id="4" name="总分"/>
    <x:tableColumn id="5" name="Level"/>
    <x:tableColumn id="6" name="主类型"/>
    <x:tableColumn id="7" name="细分标签"/>
    <x:tableColumn id="8" name="答案状态"/>
    <x:tableColumn id="9" name="答案来源"/>
    <x:tableColumn id="10" name="审计状态"/>
    <x:tableColumn id="11" name="Joy审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gVocabularyTable" displayName="TagVocabularyTable" ref="A3:C35" headerRowCount="1" totalsRowCount="0" totalsRowShown="0">
  <x:tableColumns count="3">
    <x:tableColumn id="1" name="序号"/>
    <x:tableColumn id="2" name="细分标签"/>
    <x:tableColumn id="3" name="使用原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fficultyTable" displayName="DifficultyTable" ref="E3:H8" headerRowCount="1" totalsRowCount="0" totalsRowShown="0">
  <x:tableColumns count="4">
    <x:tableColumn id="1" name="Level"/>
    <x:tableColumn id="2" name="判定标准"/>
    <x:tableColumn id="3" name="典型表现"/>
    <x:tableColumn id="4" name="辅助分参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d8f8e95d6543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09aeebe23145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8f81c68296489a" /><Relationship Type="http://schemas.openxmlformats.org/officeDocument/2006/relationships/table" Target="/xl/tables/table4.xml" Id="Rbbd88b1e08784b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4" t="str">
        <x:v>Joy M2 微分应用45题 · Task 4处理结果</x:v>
      </x:c>
      <x:c r="B1" s="4" t="str">
        <x:v>Joy M2 微分应用45题 · Task 4处理结果</x:v>
      </x:c>
      <x:c r="C1" s="4" t="str">
        <x:v>Joy M2 微分应用45题 · Task 4处理结果</x:v>
      </x:c>
      <x:c r="D1" s="4" t="str">
        <x:v>Joy M2 微分应用45题 · Task 4处理结果</x:v>
      </x:c>
      <x:c r="E1" s="4" t="str">
        <x:v>Joy M2 微分应用45题 · Task 4处理结果</x:v>
      </x:c>
      <x:c r="F1" s="4" t="str">
        <x:v>Joy M2 微分应用45题 · Task 4处理结果</x:v>
      </x:c>
      <x:c r="G1" s="4" t="str">
        <x:v>Joy M2 微分应用45题 · Task 4处理结果</x:v>
      </x:c>
      <x:c r="H1" s="4" t="str">
        <x:v>Joy M2 微分应用45题 · Task 4处理结果</x:v>
      </x:c>
      <x:c r="I1" s="4" t="str">
        <x:v>Joy M2 微分应用45题 · Task 4处理结果</x:v>
      </x:c>
      <x:c r="J1" s="4" t="str">
        <x:v>Joy M2 微分应用45题 · Task 4处理结果</x:v>
      </x:c>
    </x:row>
    <x:row r="3">
      <x:c r="A3" s="6" t="str">
        <x:v>完整题总数</x:v>
      </x:c>
      <x:c r="B3" s="6"/>
      <x:c r="C3" s="6" t="str">
        <x:v>审计通过</x:v>
      </x:c>
      <x:c r="D3" s="6"/>
      <x:c r="E3" s="6" t="str">
        <x:v>待处理</x:v>
      </x:c>
      <x:c r="F3" s="6"/>
      <x:c r="G3" s="6" t="str">
        <x:v>Joy审批</x:v>
      </x:c>
      <x:c r="H3" s="6"/>
      <x:c r="I3" s="6" t="str">
        <x:v>正式入库</x:v>
      </x:c>
      <x:c r="J3" s="6"/>
    </x:row>
    <x:row r="4">
      <x:c r="A4" s="9"/>
      <x:c r="B4" s="9" t="n">
        <x:f>COUNTA('45题总表'!A4:A48)</x:f>
        <x:v>45</x:v>
      </x:c>
      <x:c r="C4" s="9"/>
      <x:c r="D4" s="9" t="n">
        <x:f>COUNTIF('45题总表'!J4:J48,"audit_passed")</x:f>
        <x:v>45</x:v>
      </x:c>
      <x:c r="E4" s="9"/>
      <x:c r="F4" s="9" t="n">
        <x:f>COUNTIF('45题总表'!J4:J48,"audit_pending")</x:f>
        <x:v>0</x:v>
      </x:c>
      <x:c r="G4" s="10" t="str">
        <x:v>未批准</x:v>
      </x:c>
      <x:c r="H4" s="10"/>
      <x:c r="I4" s="11" t="str">
        <x:v>禁止</x:v>
      </x:c>
      <x:c r="J4" s="11"/>
    </x:row>
    <x:row r="6">
      <x:c r="A6" s="6" t="str">
        <x:v>本阶段边界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>
      <x:c r="A7" s="16" t="str">
        <x:v>数据单位</x:v>
      </x:c>
      <x:c r="B7" s="17" t="str">
        <x:v>一道完整题一条记录，全部小问保留在题内，不拆分。</x:v>
      </x:c>
      <x:c r="C7" s="17"/>
      <x:c r="D7" s="17"/>
      <x:c r="E7" s="17"/>
      <x:c r="F7" s="17"/>
      <x:c r="G7" s="17"/>
      <x:c r="H7" s="17"/>
      <x:c r="I7" s="17"/>
      <x:c r="J7" s="18"/>
    </x:row>
    <x:row r="8">
      <x:c r="A8" s="19" t="str">
        <x:v>已处理</x:v>
      </x:c>
      <x:c r="B8" s="20" t="str">
        <x:v>14题答案来源映射、3题分值、教材/甲部/乙部内容订正、2题标签词表缺口。</x:v>
      </x:c>
      <x:c r="C8" s="20"/>
      <x:c r="D8" s="20"/>
      <x:c r="E8" s="20"/>
      <x:c r="F8" s="20"/>
      <x:c r="G8" s="20"/>
      <x:c r="H8" s="20"/>
      <x:c r="I8" s="20"/>
      <x:c r="J8" s="21"/>
    </x:row>
    <x:row r="9">
      <x:c r="A9" s="19" t="str">
        <x:v>技术结果</x:v>
      </x:c>
      <x:c r="B9" s="20" t="str">
        <x:v>45题均通过技术审计；P0=0，P1=0。</x:v>
      </x:c>
      <x:c r="C9" s="20"/>
      <x:c r="D9" s="20"/>
      <x:c r="E9" s="20"/>
      <x:c r="F9" s="20"/>
      <x:c r="G9" s="20"/>
      <x:c r="H9" s="20"/>
      <x:c r="I9" s="20"/>
      <x:c r="J9" s="21"/>
    </x:row>
    <x:row r="10">
      <x:c r="A10" s="19" t="str">
        <x:v>审批结果</x:v>
      </x:c>
      <x:c r="B10" s="20" t="str">
        <x:v>Joy尚未批准正式入库，本文件只是Task 4审阅候选。</x:v>
      </x:c>
      <x:c r="C10" s="20"/>
      <x:c r="D10" s="20"/>
      <x:c r="E10" s="20"/>
      <x:c r="F10" s="20"/>
      <x:c r="G10" s="20"/>
      <x:c r="H10" s="20"/>
      <x:c r="I10" s="20"/>
      <x:c r="J10" s="21"/>
    </x:row>
    <x:row r="11">
      <x:c r="A11" s="19" t="str">
        <x:v>禁止操作</x:v>
      </x:c>
      <x:c r="B11" s="20" t="str">
        <x:v>不得修改正式SQLite/CSV，不得以旧V1.13工作副本写入。</x:v>
      </x:c>
      <x:c r="C11" s="20"/>
      <x:c r="D11" s="20"/>
      <x:c r="E11" s="20"/>
      <x:c r="F11" s="20"/>
      <x:c r="G11" s="20"/>
      <x:c r="H11" s="20"/>
      <x:c r="I11" s="20"/>
      <x:c r="J11" s="21"/>
    </x:row>
    <x:row r="12">
      <x:c r="A12" s="22" t="str">
        <x:v>下一步</x:v>
      </x:c>
      <x:c r="B12" s="23" t="str">
        <x:v>Joy确认本包后，才能生成正式导入候选并再次验收。</x:v>
      </x:c>
      <x:c r="C12" s="23"/>
      <x:c r="D12" s="23"/>
      <x:c r="E12" s="23"/>
      <x:c r="F12" s="23"/>
      <x:c r="G12" s="23"/>
      <x:c r="H12" s="23"/>
      <x:c r="I12" s="23"/>
      <x:c r="J12" s="24"/>
    </x:row>
  </x:sheetData>
  <x:mergeCells>
    <x:mergeCell ref="A1:J1"/>
    <x:mergeCell ref="A3:B3"/>
    <x:mergeCell ref="C3:D3"/>
    <x:mergeCell ref="E3:F3"/>
    <x:mergeCell ref="G3:H3"/>
    <x:mergeCell ref="I3:J3"/>
    <x:mergeCell ref="A4:B4"/>
    <x:mergeCell ref="C4:D4"/>
    <x:mergeCell ref="E4:F4"/>
    <x:mergeCell ref="G4:H4"/>
    <x:mergeCell ref="I4:J4"/>
    <x:mergeCell ref="A6:J6"/>
    <x:mergeCell ref="B7:J7"/>
    <x:mergeCell ref="B8:J8"/>
    <x:mergeCell ref="B9:J9"/>
    <x:mergeCell ref="B10:J10"/>
    <x:mergeCell ref="B11:J11"/>
    <x:mergeCell ref="B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22" hidden="0" customWidth="1"/>
    <x:col min="4" max="4" width="8" hidden="0" customWidth="1"/>
    <x:col min="5" max="5" width="28" hidden="0" customWidth="1"/>
    <x:col min="6" max="6" width="25" hidden="0" customWidth="1"/>
    <x:col min="7" max="7" width="38" hidden="0" customWidth="1"/>
    <x:col min="8" max="8" width="68" hidden="0" customWidth="1"/>
    <x:col min="9" max="9" width="48" hidden="0" customWidth="1"/>
    <x:col min="10" max="10" width="14" hidden="0" customWidth="1"/>
    <x:col min="11" max="11" width="14" hidden="0" customWidth="1"/>
  </x:cols>
  <x:sheetData>
    <x:row r="1" ht="34" customHeight="1">
      <x:c r="A1" s="4" t="str">
        <x:v>Task 4 · 21道待决题处理清单</x:v>
      </x:c>
      <x:c r="B1" s="4" t="str">
        <x:v>Task 4 · 21道待决题处理清单</x:v>
      </x:c>
      <x:c r="C1" s="4" t="str">
        <x:v>Task 4 · 21道待决题处理清单</x:v>
      </x:c>
      <x:c r="D1" s="4" t="str">
        <x:v>Task 4 · 21道待决题处理清单</x:v>
      </x:c>
      <x:c r="E1" s="4" t="str">
        <x:v>Task 4 · 21道待决题处理清单</x:v>
      </x:c>
      <x:c r="F1" s="4" t="str">
        <x:v>Task 4 · 21道待决题处理清单</x:v>
      </x:c>
      <x:c r="G1" s="4" t="str">
        <x:v>Task 4 · 21道待决题处理清单</x:v>
      </x:c>
      <x:c r="H1" s="4" t="str">
        <x:v>Task 4 · 21道待决题处理清单</x:v>
      </x:c>
      <x:c r="I1" s="4" t="str">
        <x:v>Task 4 · 21道待决题处理清单</x:v>
      </x:c>
      <x:c r="J1" s="4" t="str">
        <x:v>Task 4 · 21道待决题处理清单</x:v>
      </x:c>
      <x:c r="K1" s="4" t="str">
        <x:v>Task 4 · 21道待决题处理清单</x:v>
      </x:c>
    </x:row>
    <x:row r="3" ht="30" customHeight="1">
      <x:c r="A3" s="35" t="str">
        <x:v>题目ID</x:v>
      </x:c>
      <x:c r="B3" s="36" t="str">
        <x:v>分区</x:v>
      </x:c>
      <x:c r="C3" s="36" t="str">
        <x:v>处理类别</x:v>
      </x:c>
      <x:c r="D3" s="36" t="str">
        <x:v>总分</x:v>
      </x:c>
      <x:c r="E3" s="36" t="str">
        <x:v>标签</x:v>
      </x:c>
      <x:c r="F3" s="36" t="str">
        <x:v>答案来源文件</x:v>
      </x:c>
      <x:c r="G3" s="36" t="str">
        <x:v>答案来源成员</x:v>
      </x:c>
      <x:c r="H3" s="36" t="str">
        <x:v>答案成员SHA-256</x:v>
      </x:c>
      <x:c r="I3" s="36" t="str">
        <x:v>处理结论</x:v>
      </x:c>
      <x:c r="J3" s="36" t="str">
        <x:v>技术状态</x:v>
      </x:c>
      <x:c r="K3" s="37" t="str">
        <x:v>Joy审批</x:v>
      </x:c>
    </x:row>
    <x:row r="4">
      <x:c r="A4" s="14" t="str">
        <x:v>M2QD-DA-EXAMPLE-Q3</x:v>
      </x:c>
      <x:c r="B4" s="14" t="str">
        <x:v>教材例题</x:v>
      </x:c>
      <x:c r="C4" s="14" t="str">
        <x:v>标签词表</x:v>
      </x:c>
      <x:c r="D4" s="14" t="n">
        <x:v>4</x:v>
      </x:c>
      <x:c r="E4" s="14" t="str">
        <x:v>全局最小值</x:v>
      </x:c>
      <x:c r="F4" s="14" t="str">
        <x:v>M2Quick Drill-微分法的应用.mmd.zip</x:v>
      </x:c>
      <x:c r="G4" s="14" t="str">
        <x:v>ab3a3800-3b11-4cb8-af40-46ce05caf9f6.mmd</x:v>
      </x:c>
      <x:c r="H4" s="14" t="str">
        <x:v>4b963982fc5f5b0c4efc94ab64c76b6421c8f0389e7025f110783799b2c1fac5</x:v>
      </x:c>
      <x:c r="I4" s="14" t="str">
        <x:v>词表V1.1加入全局最小值；题目要求在定义域内找全局最小值。</x:v>
      </x:c>
      <x:c r="J4" s="39" t="str">
        <x:v>技术审计通过</x:v>
      </x:c>
      <x:c r="K4" s="41" t="str">
        <x:v>未批准</x:v>
      </x:c>
    </x:row>
    <x:row r="5">
      <x:c r="A5" s="14" t="str">
        <x:v>M2QD-DA-EXAMPLE-Q6</x:v>
      </x:c>
      <x:c r="B5" s="14" t="str">
        <x:v>教材例题</x:v>
      </x:c>
      <x:c r="C5" s="14" t="str">
        <x:v>内容订正</x:v>
      </x:c>
      <x:c r="D5" s="14" t="n">
        <x:v>12</x:v>
      </x:c>
      <x:c r="E5" s="14" t="str">
        <x:v>切点未知求法线；几何最优化；相关变化率；面积变化；建立变量关系；综合题目</x:v>
      </x:c>
      <x:c r="F5" s="14" t="str">
        <x:v>M2Quick Drill-微分法的应用.mmd.zip</x:v>
      </x:c>
      <x:c r="G5" s="14" t="str">
        <x:v>ab3a3800-3b11-4cb8-af40-46ce05caf9f6.mmd</x:v>
      </x:c>
      <x:c r="H5" s="14" t="str">
        <x:v>4b963982fc5f5b0c4efc94ab64c76b6421c8f0389e7025f110783799b2c1fac5</x:v>
      </x:c>
      <x:c r="I5" s="14" t="str">
        <x:v>英文公式定界与变率上界已按校订记录确认。</x:v>
      </x:c>
      <x:c r="J5" s="39" t="str">
        <x:v>技术审计通过</x:v>
      </x:c>
      <x:c r="K5" s="41" t="str">
        <x:v>未批准</x:v>
      </x:c>
    </x:row>
    <x:row r="6">
      <x:c r="A6" s="14" t="str">
        <x:v>M2QD-DA-EXAMPLE-Q8</x:v>
      </x:c>
      <x:c r="B6" s="14" t="str">
        <x:v>教材例题</x:v>
      </x:c>
      <x:c r="C6" s="14" t="str">
        <x:v>内容订正</x:v>
      </x:c>
      <x:c r="D6" s="14" t="n">
        <x:v>9</x:v>
      </x:c>
      <x:c r="E6" s="14" t="str">
        <x:v>极大点；极小点；二阶导数判别法；已知切点求切线；凹凸性；综合题目</x:v>
      </x:c>
      <x:c r="F6" s="14" t="str">
        <x:v>M2Quick Drill-微分法的应用.mmd.zip</x:v>
      </x:c>
      <x:c r="G6" s="14" t="str">
        <x:v>ab3a3800-3b11-4cb8-af40-46ce05caf9f6.mmd</x:v>
      </x:c>
      <x:c r="H6" s="14" t="str">
        <x:v>4b963982fc5f5b0c4efc94ab64c76b6421c8f0389e7025f110783799b2c1fac5</x:v>
      </x:c>
      <x:c r="I6" s="14" t="str">
        <x:v>采用严谨表述：图像不高于切线，且除切点外严格低于。</x:v>
      </x:c>
      <x:c r="J6" s="39" t="str">
        <x:v>技术审计通过</x:v>
      </x:c>
      <x:c r="K6" s="41" t="str">
        <x:v>未批准</x:v>
      </x:c>
    </x:row>
    <x:row r="7">
      <x:c r="A7" s="14" t="str">
        <x:v>M2QD-DA-TRAIN-Q1</x:v>
      </x:c>
      <x:c r="B7" s="14" t="str">
        <x:v>应试训练</x:v>
      </x:c>
      <x:c r="C7" s="14" t="str">
        <x:v>答案来源映射</x:v>
      </x:c>
      <x:c r="D7" s="14" t="n">
        <x:v>6</x:v>
      </x:c>
      <x:c r="E7" s="14" t="str">
        <x:v>切点未知；隐函数求导</x:v>
      </x:c>
      <x:c r="F7" s="14" t="str">
        <x:v>微分的应用甲部.mmd.zip</x:v>
      </x:c>
      <x:c r="G7" s="14" t="str">
        <x:v>c2e97ff4-9258-43ff-802f-ac95d2c5c0e2.mmd</x:v>
      </x:c>
      <x:c r="H7" s="14" t="str">
        <x:v>bfd75702b5abff3f604bfeb722f6ab7cd6c23566d15ea550bbf05be1b4dbbeb0</x:v>
      </x:c>
      <x:c r="I7" s="14" t="str">
        <x:v>已按Task 4核验并关闭来源映射、分值或内容待决项。</x:v>
      </x:c>
      <x:c r="J7" s="39" t="str">
        <x:v>技术审计通过</x:v>
      </x:c>
      <x:c r="K7" s="41" t="str">
        <x:v>未批准</x:v>
      </x:c>
    </x:row>
    <x:row r="8">
      <x:c r="A8" s="14" t="str">
        <x:v>M2QD-DA-TRAIN-Q2</x:v>
      </x:c>
      <x:c r="B8" s="14" t="str">
        <x:v>应试训练</x:v>
      </x:c>
      <x:c r="C8" s="14" t="str">
        <x:v>答案来源映射</x:v>
      </x:c>
      <x:c r="D8" s="14" t="n">
        <x:v>6</x:v>
      </x:c>
      <x:c r="E8" s="14" t="str">
        <x:v>过指定点的切线；切点未知；隐函数求导</x:v>
      </x:c>
      <x:c r="F8" s="14" t="str">
        <x:v>微分的应用甲部.mmd.zip</x:v>
      </x:c>
      <x:c r="G8" s="14" t="str">
        <x:v>c2e97ff4-9258-43ff-802f-ac95d2c5c0e2.mmd</x:v>
      </x:c>
      <x:c r="H8" s="14" t="str">
        <x:v>bfd75702b5abff3f604bfeb722f6ab7cd6c23566d15ea550bbf05be1b4dbbeb0</x:v>
      </x:c>
      <x:c r="I8" s="14" t="str">
        <x:v>已按Task 4核验并关闭来源映射、分值或内容待决项。</x:v>
      </x:c>
      <x:c r="J8" s="39" t="str">
        <x:v>技术审计通过</x:v>
      </x:c>
      <x:c r="K8" s="41" t="str">
        <x:v>未批准</x:v>
      </x:c>
    </x:row>
    <x:row r="9">
      <x:c r="A9" s="14" t="str">
        <x:v>M2QD-DA-TRAIN-Q3</x:v>
      </x:c>
      <x:c r="B9" s="14" t="str">
        <x:v>应试训练</x:v>
      </x:c>
      <x:c r="C9" s="14" t="str">
        <x:v>答案来源映射；分值补录；内容订正</x:v>
      </x:c>
      <x:c r="D9" s="14" t="n">
        <x:v>4</x:v>
      </x:c>
      <x:c r="E9" s="14" t="str">
        <x:v>极小点</x:v>
      </x:c>
      <x:c r="F9" s="14" t="str">
        <x:v>微分的应用甲部.mmd.zip</x:v>
      </x:c>
      <x:c r="G9" s="14" t="str">
        <x:v>c2e97ff4-9258-43ff-802f-ac95d2c5c0e2.mmd</x:v>
      </x:c>
      <x:c r="H9" s="14" t="str">
        <x:v>bfd75702b5abff3f604bfeb722f6ab7cd6c23566d15ea550bbf05be1b4dbbeb0</x:v>
      </x:c>
      <x:c r="I9" s="14" t="str">
        <x:v>已按Task 4核验并关闭来源映射、分值或内容待决项。</x:v>
      </x:c>
      <x:c r="J9" s="39" t="str">
        <x:v>技术审计通过</x:v>
      </x:c>
      <x:c r="K9" s="41" t="str">
        <x:v>未批准</x:v>
      </x:c>
    </x:row>
    <x:row r="10">
      <x:c r="A10" s="14" t="str">
        <x:v>M2QD-DA-TRAIN-Q4</x:v>
      </x:c>
      <x:c r="B10" s="14" t="str">
        <x:v>应试训练</x:v>
      </x:c>
      <x:c r="C10" s="14" t="str">
        <x:v>答案来源映射</x:v>
      </x:c>
      <x:c r="D10" s="14" t="n">
        <x:v>6</x:v>
      </x:c>
      <x:c r="E10" s="14" t="str">
        <x:v>极大点</x:v>
      </x:c>
      <x:c r="F10" s="14" t="str">
        <x:v>微分的应用甲部.mmd.zip</x:v>
      </x:c>
      <x:c r="G10" s="14" t="str">
        <x:v>c2e97ff4-9258-43ff-802f-ac95d2c5c0e2.mmd</x:v>
      </x:c>
      <x:c r="H10" s="14" t="str">
        <x:v>bfd75702b5abff3f604bfeb722f6ab7cd6c23566d15ea550bbf05be1b4dbbeb0</x:v>
      </x:c>
      <x:c r="I10" s="14" t="str">
        <x:v>已按Task 4核验并关闭来源映射、分值或内容待决项。</x:v>
      </x:c>
      <x:c r="J10" s="39" t="str">
        <x:v>技术审计通过</x:v>
      </x:c>
      <x:c r="K10" s="41" t="str">
        <x:v>未批准</x:v>
      </x:c>
    </x:row>
    <x:row r="11">
      <x:c r="A11" s="14" t="str">
        <x:v>M2QD-DA-TRAIN-Q5</x:v>
      </x:c>
      <x:c r="B11" s="14" t="str">
        <x:v>应试训练</x:v>
      </x:c>
      <x:c r="C11" s="14" t="str">
        <x:v>答案来源映射</x:v>
      </x:c>
      <x:c r="D11" s="14" t="n">
        <x:v>4</x:v>
      </x:c>
      <x:c r="E11" s="14" t="str">
        <x:v>极大点</x:v>
      </x:c>
      <x:c r="F11" s="14" t="str">
        <x:v>微分的应用甲部.mmd.zip</x:v>
      </x:c>
      <x:c r="G11" s="14" t="str">
        <x:v>c2e97ff4-9258-43ff-802f-ac95d2c5c0e2.mmd</x:v>
      </x:c>
      <x:c r="H11" s="14" t="str">
        <x:v>bfd75702b5abff3f604bfeb722f6ab7cd6c23566d15ea550bbf05be1b4dbbeb0</x:v>
      </x:c>
      <x:c r="I11" s="14" t="str">
        <x:v>已按Task 4核验并关闭来源映射、分值或内容待决项。</x:v>
      </x:c>
      <x:c r="J11" s="39" t="str">
        <x:v>技术审计通过</x:v>
      </x:c>
      <x:c r="K11" s="41" t="str">
        <x:v>未批准</x:v>
      </x:c>
    </x:row>
    <x:row r="12">
      <x:c r="A12" s="14" t="str">
        <x:v>M2QD-DA-TRAIN-Q6</x:v>
      </x:c>
      <x:c r="B12" s="14" t="str">
        <x:v>应试训练</x:v>
      </x:c>
      <x:c r="C12" s="14" t="str">
        <x:v>答案来源映射</x:v>
      </x:c>
      <x:c r="D12" s="14" t="n">
        <x:v>4</x:v>
      </x:c>
      <x:c r="E12" s="14" t="str">
        <x:v>极小点；区间最值；端点比较</x:v>
      </x:c>
      <x:c r="F12" s="14" t="str">
        <x:v>微分的应用甲部.mmd.zip</x:v>
      </x:c>
      <x:c r="G12" s="14" t="str">
        <x:v>c2e97ff4-9258-43ff-802f-ac95d2c5c0e2.mmd</x:v>
      </x:c>
      <x:c r="H12" s="14" t="str">
        <x:v>bfd75702b5abff3f604bfeb722f6ab7cd6c23566d15ea550bbf05be1b4dbbeb0</x:v>
      </x:c>
      <x:c r="I12" s="14" t="str">
        <x:v>已按Task 4核验并关闭来源映射、分值或内容待决项。</x:v>
      </x:c>
      <x:c r="J12" s="39" t="str">
        <x:v>技术审计通过</x:v>
      </x:c>
      <x:c r="K12" s="41" t="str">
        <x:v>未批准</x:v>
      </x:c>
    </x:row>
    <x:row r="13">
      <x:c r="A13" s="14" t="str">
        <x:v>M2QD-DA-TRAIN-Q7</x:v>
      </x:c>
      <x:c r="B13" s="14" t="str">
        <x:v>应试训练</x:v>
      </x:c>
      <x:c r="C13" s="14" t="str">
        <x:v>答案来源映射；分值补录；内容订正</x:v>
      </x:c>
      <x:c r="D13" s="14" t="n">
        <x:v>6</x:v>
      </x:c>
      <x:c r="E13" s="14" t="str">
        <x:v>拐点；凹凸性</x:v>
      </x:c>
      <x:c r="F13" s="14" t="str">
        <x:v>微分的应用甲部.mmd.zip</x:v>
      </x:c>
      <x:c r="G13" s="14" t="str">
        <x:v>c2e97ff4-9258-43ff-802f-ac95d2c5c0e2.mmd</x:v>
      </x:c>
      <x:c r="H13" s="14" t="str">
        <x:v>bfd75702b5abff3f604bfeb722f6ab7cd6c23566d15ea550bbf05be1b4dbbeb0</x:v>
      </x:c>
      <x:c r="I13" s="14" t="str">
        <x:v>已按Task 4核验并关闭来源映射、分值或内容待决项。</x:v>
      </x:c>
      <x:c r="J13" s="39" t="str">
        <x:v>技术审计通过</x:v>
      </x:c>
      <x:c r="K13" s="41" t="str">
        <x:v>未批准</x:v>
      </x:c>
    </x:row>
    <x:row r="14">
      <x:c r="A14" s="14" t="str">
        <x:v>M2QD-DA-TRAIN-Q8</x:v>
      </x:c>
      <x:c r="B14" s="14" t="str">
        <x:v>应试训练</x:v>
      </x:c>
      <x:c r="C14" s="14" t="str">
        <x:v>答案来源映射</x:v>
      </x:c>
      <x:c r="D14" s="14" t="n">
        <x:v>6</x:v>
      </x:c>
      <x:c r="E14" s="14" t="str">
        <x:v>拐点；凹凸性</x:v>
      </x:c>
      <x:c r="F14" s="14" t="str">
        <x:v>微分的应用甲部.mmd.zip</x:v>
      </x:c>
      <x:c r="G14" s="14" t="str">
        <x:v>c2e97ff4-9258-43ff-802f-ac95d2c5c0e2.mmd</x:v>
      </x:c>
      <x:c r="H14" s="14" t="str">
        <x:v>bfd75702b5abff3f604bfeb722f6ab7cd6c23566d15ea550bbf05be1b4dbbeb0</x:v>
      </x:c>
      <x:c r="I14" s="14" t="str">
        <x:v>已按Task 4核验并关闭来源映射、分值或内容待决项。</x:v>
      </x:c>
      <x:c r="J14" s="39" t="str">
        <x:v>技术审计通过</x:v>
      </x:c>
      <x:c r="K14" s="41" t="str">
        <x:v>未批准</x:v>
      </x:c>
    </x:row>
    <x:row r="15">
      <x:c r="A15" s="14" t="str">
        <x:v>M2QD-DA-TRAIN-Q9</x:v>
      </x:c>
      <x:c r="B15" s="14" t="str">
        <x:v>应试训练</x:v>
      </x:c>
      <x:c r="C15" s="14" t="str">
        <x:v>答案来源映射</x:v>
      </x:c>
      <x:c r="D15" s="14" t="n">
        <x:v>3</x:v>
      </x:c>
      <x:c r="E15" s="14" t="str">
        <x:v>渐近线</x:v>
      </x:c>
      <x:c r="F15" s="14" t="str">
        <x:v>微分的应用甲部.mmd.zip</x:v>
      </x:c>
      <x:c r="G15" s="14" t="str">
        <x:v>c2e97ff4-9258-43ff-802f-ac95d2c5c0e2.mmd</x:v>
      </x:c>
      <x:c r="H15" s="14" t="str">
        <x:v>bfd75702b5abff3f604bfeb722f6ab7cd6c23566d15ea550bbf05be1b4dbbeb0</x:v>
      </x:c>
      <x:c r="I15" s="14" t="str">
        <x:v>已按Task 4核验并关闭来源映射、分值或内容待决项。</x:v>
      </x:c>
      <x:c r="J15" s="39" t="str">
        <x:v>技术审计通过</x:v>
      </x:c>
      <x:c r="K15" s="41" t="str">
        <x:v>未批准</x:v>
      </x:c>
    </x:row>
    <x:row r="16">
      <x:c r="A16" s="14" t="str">
        <x:v>M2QD-DA-TRAIN-Q10</x:v>
      </x:c>
      <x:c r="B16" s="14" t="str">
        <x:v>应试训练</x:v>
      </x:c>
      <x:c r="C16" s="14" t="str">
        <x:v>答案来源映射</x:v>
      </x:c>
      <x:c r="D16" s="14" t="n">
        <x:v>6</x:v>
      </x:c>
      <x:c r="E16" s="14" t="str">
        <x:v>渐近线；拐点；凹凸性</x:v>
      </x:c>
      <x:c r="F16" s="14" t="str">
        <x:v>微分的应用甲部.mmd.zip</x:v>
      </x:c>
      <x:c r="G16" s="14" t="str">
        <x:v>c2e97ff4-9258-43ff-802f-ac95d2c5c0e2.mmd</x:v>
      </x:c>
      <x:c r="H16" s="14" t="str">
        <x:v>bfd75702b5abff3f604bfeb722f6ab7cd6c23566d15ea550bbf05be1b4dbbeb0</x:v>
      </x:c>
      <x:c r="I16" s="14" t="str">
        <x:v>已按Task 4核验并关闭来源映射、分值或内容待决项。</x:v>
      </x:c>
      <x:c r="J16" s="39" t="str">
        <x:v>技术审计通过</x:v>
      </x:c>
      <x:c r="K16" s="41" t="str">
        <x:v>未批准</x:v>
      </x:c>
    </x:row>
    <x:row r="17">
      <x:c r="A17" s="14" t="str">
        <x:v>M2QD-DA-TRAIN-Q11</x:v>
      </x:c>
      <x:c r="B17" s="14" t="str">
        <x:v>应试训练</x:v>
      </x:c>
      <x:c r="C17" s="14" t="str">
        <x:v>答案来源映射</x:v>
      </x:c>
      <x:c r="D17" s="14" t="n">
        <x:v>8</x:v>
      </x:c>
      <x:c r="E17" s="14" t="str">
        <x:v>极大点；极小点；拐点；渐近线；曲线作图</x:v>
      </x:c>
      <x:c r="F17" s="14" t="str">
        <x:v>微分的应用甲部.mmd.zip</x:v>
      </x:c>
      <x:c r="G17" s="14" t="str">
        <x:v>c2e97ff4-9258-43ff-802f-ac95d2c5c0e2.mmd</x:v>
      </x:c>
      <x:c r="H17" s="14" t="str">
        <x:v>bfd75702b5abff3f604bfeb722f6ab7cd6c23566d15ea550bbf05be1b4dbbeb0</x:v>
      </x:c>
      <x:c r="I17" s="14" t="str">
        <x:v>已按Task 4核验并关闭来源映射、分值或内容待决项。</x:v>
      </x:c>
      <x:c r="J17" s="39" t="str">
        <x:v>技术审计通过</x:v>
      </x:c>
      <x:c r="K17" s="41" t="str">
        <x:v>未批准</x:v>
      </x:c>
    </x:row>
    <x:row r="18">
      <x:c r="A18" s="14" t="str">
        <x:v>M2QD-DA-TRAIN-Q12</x:v>
      </x:c>
      <x:c r="B18" s="14" t="str">
        <x:v>应试训练</x:v>
      </x:c>
      <x:c r="C18" s="14" t="str">
        <x:v>答案来源映射</x:v>
      </x:c>
      <x:c r="D18" s="14" t="n">
        <x:v>8</x:v>
      </x:c>
      <x:c r="E18" s="14" t="str">
        <x:v>极大点；极小点；拐点；渐近线；曲线作图</x:v>
      </x:c>
      <x:c r="F18" s="14" t="str">
        <x:v>微分的应用甲部.mmd.zip</x:v>
      </x:c>
      <x:c r="G18" s="14" t="str">
        <x:v>c2e97ff4-9258-43ff-802f-ac95d2c5c0e2.mmd</x:v>
      </x:c>
      <x:c r="H18" s="14" t="str">
        <x:v>bfd75702b5abff3f604bfeb722f6ab7cd6c23566d15ea550bbf05be1b4dbbeb0</x:v>
      </x:c>
      <x:c r="I18" s="14" t="str">
        <x:v>已按Task 4核验并关闭来源映射、分值或内容待决项。</x:v>
      </x:c>
      <x:c r="J18" s="39" t="str">
        <x:v>技术审计通过</x:v>
      </x:c>
      <x:c r="K18" s="41" t="str">
        <x:v>未批准</x:v>
      </x:c>
    </x:row>
    <x:row r="19">
      <x:c r="A19" s="14" t="str">
        <x:v>M2QD-DA-TRAIN-Q13</x:v>
      </x:c>
      <x:c r="B19" s="14" t="str">
        <x:v>应试训练</x:v>
      </x:c>
      <x:c r="C19" s="14" t="str">
        <x:v>答案来源映射；分值补录；内容订正</x:v>
      </x:c>
      <x:c r="D19" s="14" t="n">
        <x:v>3</x:v>
      </x:c>
      <x:c r="E19" s="14" t="str">
        <x:v>相关变化率；体积变化</x:v>
      </x:c>
      <x:c r="F19" s="14" t="str">
        <x:v>微分的应用甲部.mmd.zip</x:v>
      </x:c>
      <x:c r="G19" s="14" t="str">
        <x:v>c2e97ff4-9258-43ff-802f-ac95d2c5c0e2.mmd</x:v>
      </x:c>
      <x:c r="H19" s="14" t="str">
        <x:v>bfd75702b5abff3f604bfeb722f6ab7cd6c23566d15ea550bbf05be1b4dbbeb0</x:v>
      </x:c>
      <x:c r="I19" s="14" t="str">
        <x:v>已按Task 4核验并关闭来源映射、分值或内容待决项。</x:v>
      </x:c>
      <x:c r="J19" s="39" t="str">
        <x:v>技术审计通过</x:v>
      </x:c>
      <x:c r="K19" s="41" t="str">
        <x:v>未批准</x:v>
      </x:c>
    </x:row>
    <x:row r="20">
      <x:c r="A20" s="14" t="str">
        <x:v>M2QD-DA-TRAIN-Q14</x:v>
      </x:c>
      <x:c r="B20" s="14" t="str">
        <x:v>应试训练</x:v>
      </x:c>
      <x:c r="C20" s="14" t="str">
        <x:v>答案来源映射</x:v>
      </x:c>
      <x:c r="D20" s="14" t="n">
        <x:v>5</x:v>
      </x:c>
      <x:c r="E20" s="14" t="str">
        <x:v>相关变化率；面积变化；建立变量关系</x:v>
      </x:c>
      <x:c r="F20" s="14" t="str">
        <x:v>微分的应用甲部.mmd.zip</x:v>
      </x:c>
      <x:c r="G20" s="14" t="str">
        <x:v>c2e97ff4-9258-43ff-802f-ac95d2c5c0e2.mmd</x:v>
      </x:c>
      <x:c r="H20" s="14" t="str">
        <x:v>bfd75702b5abff3f604bfeb722f6ab7cd6c23566d15ea550bbf05be1b4dbbeb0</x:v>
      </x:c>
      <x:c r="I20" s="14" t="str">
        <x:v>已按Task 4核验并关闭来源映射、分值或内容待决项。</x:v>
      </x:c>
      <x:c r="J20" s="39" t="str">
        <x:v>技术审计通过</x:v>
      </x:c>
      <x:c r="K20" s="41" t="str">
        <x:v>未批准</x:v>
      </x:c>
    </x:row>
    <x:row r="21">
      <x:c r="A21" s="14" t="str">
        <x:v>M2QD-DA-PARTA-Q6</x:v>
      </x:c>
      <x:c r="B21" s="14" t="str">
        <x:v>甲部特训</x:v>
      </x:c>
      <x:c r="C21" s="14" t="str">
        <x:v>内容订正</x:v>
      </x:c>
      <x:c r="D21" s="14" t="n">
        <x:v>5</x:v>
      </x:c>
      <x:c r="E21" s="14" t="str">
        <x:v>区间最值；端点比较</x:v>
      </x:c>
      <x:c r="F21" s="14" t="str">
        <x:v>微分的应用甲部.mmd.zip</x:v>
      </x:c>
      <x:c r="G21" s="14" t="str">
        <x:v>c2e97ff4-9258-43ff-802f-ac95d2c5c0e2.mmd</x:v>
      </x:c>
      <x:c r="H21" s="14" t="str">
        <x:v>bfd75702b5abff3f604bfeb722f6ab7cd6c23566d15ea550bbf05be1b4dbbeb0</x:v>
      </x:c>
      <x:c r="I21" s="14" t="str">
        <x:v>补全最大值e^3及其取得点x=-1。</x:v>
      </x:c>
      <x:c r="J21" s="39" t="str">
        <x:v>技术审计通过</x:v>
      </x:c>
      <x:c r="K21" s="41" t="str">
        <x:v>未批准</x:v>
      </x:c>
    </x:row>
    <x:row r="22">
      <x:c r="A22" s="14" t="str">
        <x:v>M2QD-DA-PARTA-Q13</x:v>
      </x:c>
      <x:c r="B22" s="14" t="str">
        <x:v>甲部特训</x:v>
      </x:c>
      <x:c r="C22" s="14" t="str">
        <x:v>标签词表；内容订正</x:v>
      </x:c>
      <x:c r="D22" s="14" t="n">
        <x:v>4</x:v>
      </x:c>
      <x:c r="E22" s="14" t="str">
        <x:v>从基本原理求导；导数为正区间</x:v>
      </x:c>
      <x:c r="F22" s="14" t="str">
        <x:v>微分的应用甲部.mmd.zip</x:v>
      </x:c>
      <x:c r="G22" s="14" t="str">
        <x:v>c2e97ff4-9258-43ff-802f-ac95d2c5c0e2.mmd</x:v>
      </x:c>
      <x:c r="H22" s="14" t="str">
        <x:v>bfd75702b5abff3f604bfeb722f6ab7cd6c23566d15ea550bbf05be1b4dbbeb0</x:v>
      </x:c>
      <x:c r="I22" s="14" t="str">
        <x:v>补全基本原理差商推导，并加入两项精确标签。</x:v>
      </x:c>
      <x:c r="J22" s="39" t="str">
        <x:v>技术审计通过</x:v>
      </x:c>
      <x:c r="K22" s="41" t="str">
        <x:v>未批准</x:v>
      </x:c>
    </x:row>
    <x:row r="23">
      <x:c r="A23" s="14" t="str">
        <x:v>M2QD-DA-PARTA-Q16</x:v>
      </x:c>
      <x:c r="B23" s="14" t="str">
        <x:v>甲部特训</x:v>
      </x:c>
      <x:c r="C23" s="14" t="str">
        <x:v>内容订正</x:v>
      </x:c>
      <x:c r="D23" s="14" t="n">
        <x:v>9</x:v>
      </x:c>
      <x:c r="E23" s="14" t="str">
        <x:v>渐近线；极小点；拐点</x:v>
      </x:c>
      <x:c r="F23" s="14" t="str">
        <x:v>微分的应用甲部.mmd.zip</x:v>
      </x:c>
      <x:c r="G23" s="14" t="str">
        <x:v>c2e97ff4-9258-43ff-802f-ac95d2c5c0e2.mmd</x:v>
      </x:c>
      <x:c r="H23" s="14" t="str">
        <x:v>bfd75702b5abff3f604bfeb722f6ab7cd6c23566d15ea550bbf05be1b4dbbeb0</x:v>
      </x:c>
      <x:c r="I23" s="14" t="str">
        <x:v>确认(b)应求f'(x)，并补全拐点(-5,0)。</x:v>
      </x:c>
      <x:c r="J23" s="39" t="str">
        <x:v>技术审计通过</x:v>
      </x:c>
      <x:c r="K23" s="41" t="str">
        <x:v>未批准</x:v>
      </x:c>
    </x:row>
    <x:row r="24">
      <x:c r="A24" s="14" t="str">
        <x:v>M2QD-DA-PARTB-Q3</x:v>
      </x:c>
      <x:c r="B24" s="14" t="str">
        <x:v>乙部特训</x:v>
      </x:c>
      <x:c r="C24" s="14" t="str">
        <x:v>内容订正</x:v>
      </x:c>
      <x:c r="D24" s="14" t="n">
        <x:v>13</x:v>
      </x:c>
      <x:c r="E24" s="14" t="str">
        <x:v>驻点；极大点；极小点；一阶导数判别法；拐点；渐近线；曲线作图；综合题目</x:v>
      </x:c>
      <x:c r="F24" s="14" t="str">
        <x:v>微分应用乙部答案.mmd.zip</x:v>
      </x:c>
      <x:c r="G24" s="14" t="str">
        <x:v>d6fb2fbd-e521-4477-bb10-ce3f58210ca8.mmd</x:v>
      </x:c>
      <x:c r="H24" s="14" t="str">
        <x:v>07fc2301afd0be972275dfb9dd23aada19a327919e603017a8ab45b004cf546d</x:v>
      </x:c>
      <x:c r="I24" s="14" t="str">
        <x:v>采用正确函数标签并保留正确渐近线、极值点及草图信息。</x:v>
      </x:c>
      <x:c r="J24" s="39" t="str">
        <x:v>技术审计通过</x:v>
      </x:c>
      <x:c r="K24" s="41" t="str">
        <x:v>未批准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fd8f8e95d6543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7" hidden="0" customWidth="1"/>
    <x:col min="4" max="4" width="8" hidden="0" customWidth="1"/>
    <x:col min="5" max="5" width="8" hidden="0" customWidth="1"/>
    <x:col min="6" max="6" width="18" hidden="0" customWidth="1"/>
    <x:col min="7" max="7" width="42" hidden="0" customWidth="1"/>
    <x:col min="8" max="8" width="19" hidden="0" customWidth="1"/>
    <x:col min="9" max="9" width="25" hidden="0" customWidth="1"/>
    <x:col min="10" max="10" width="15" hidden="0" customWidth="1"/>
    <x:col min="11" max="11" width="15" hidden="0" customWidth="1"/>
  </x:cols>
  <x:sheetData>
    <x:row r="1" ht="34" customHeight="1">
      <x:c r="A1" s="4" t="str">
        <x:v>微分应用45道完整题 · Task 4候选总表</x:v>
      </x:c>
      <x:c r="B1" s="4" t="str">
        <x:v>微分应用45道完整题 · Task 4候选总表</x:v>
      </x:c>
      <x:c r="C1" s="4" t="str">
        <x:v>微分应用45道完整题 · Task 4候选总表</x:v>
      </x:c>
      <x:c r="D1" s="4" t="str">
        <x:v>微分应用45道完整题 · Task 4候选总表</x:v>
      </x:c>
      <x:c r="E1" s="4" t="str">
        <x:v>微分应用45道完整题 · Task 4候选总表</x:v>
      </x:c>
      <x:c r="F1" s="4" t="str">
        <x:v>微分应用45道完整题 · Task 4候选总表</x:v>
      </x:c>
      <x:c r="G1" s="4" t="str">
        <x:v>微分应用45道完整题 · Task 4候选总表</x:v>
      </x:c>
      <x:c r="H1" s="4" t="str">
        <x:v>微分应用45道完整题 · Task 4候选总表</x:v>
      </x:c>
      <x:c r="I1" s="4" t="str">
        <x:v>微分应用45道完整题 · Task 4候选总表</x:v>
      </x:c>
      <x:c r="J1" s="4" t="str">
        <x:v>微分应用45道完整题 · Task 4候选总表</x:v>
      </x:c>
      <x:c r="K1" s="4" t="str">
        <x:v>微分应用45道完整题 · Task 4候选总表</x:v>
      </x:c>
    </x:row>
    <x:row r="3" ht="30" customHeight="1">
      <x:c r="A3" s="35" t="str">
        <x:v>题目ID</x:v>
      </x:c>
      <x:c r="B3" s="36" t="str">
        <x:v>分区</x:v>
      </x:c>
      <x:c r="C3" s="36" t="str">
        <x:v>原题号</x:v>
      </x:c>
      <x:c r="D3" s="36" t="str">
        <x:v>总分</x:v>
      </x:c>
      <x:c r="E3" s="36" t="str">
        <x:v>Level</x:v>
      </x:c>
      <x:c r="F3" s="36" t="str">
        <x:v>主类型</x:v>
      </x:c>
      <x:c r="G3" s="36" t="str">
        <x:v>细分标签</x:v>
      </x:c>
      <x:c r="H3" s="36" t="str">
        <x:v>答案状态</x:v>
      </x:c>
      <x:c r="I3" s="36" t="str">
        <x:v>答案来源</x:v>
      </x:c>
      <x:c r="J3" s="36" t="str">
        <x:v>审计状态</x:v>
      </x:c>
      <x:c r="K3" s="37" t="str">
        <x:v>Joy审批</x:v>
      </x:c>
    </x:row>
    <x:row r="4">
      <x:c r="A4" s="14" t="str">
        <x:v>M2QD-DA-EXAMPLE-Q1</x:v>
      </x:c>
      <x:c r="B4" s="14" t="str">
        <x:v>教材例题</x:v>
      </x:c>
      <x:c r="C4" s="14" t="str">
        <x:v>EXAMPLE-Q1</x:v>
      </x:c>
      <x:c r="D4" s="14" t="n">
        <x:v>7</x:v>
      </x:c>
      <x:c r="E4" s="14" t="n">
        <x:v>3</x:v>
      </x:c>
      <x:c r="F4" s="14" t="str">
        <x:v>切线与法线</x:v>
      </x:c>
      <x:c r="G4" s="14" t="str">
        <x:v>过指定点的切线；切点未知</x:v>
      </x:c>
      <x:c r="H4" s="14" t="str">
        <x:v>source_provided</x:v>
      </x:c>
      <x:c r="I4" s="14" t="str">
        <x:v>M2Quick Drill-微分法的应用.mmd.zip</x:v>
      </x:c>
      <x:c r="J4" s="39" t="str">
        <x:v>audit_passed</x:v>
      </x:c>
      <x:c r="K4" s="41" t="str">
        <x:v>未批准</x:v>
      </x:c>
    </x:row>
    <x:row r="5">
      <x:c r="A5" s="14" t="str">
        <x:v>M2QD-DA-EXAMPLE-Q2</x:v>
      </x:c>
      <x:c r="B5" s="14" t="str">
        <x:v>教材例题</x:v>
      </x:c>
      <x:c r="C5" s="14" t="str">
        <x:v>EXAMPLE-Q2</x:v>
      </x:c>
      <x:c r="D5" s="14"/>
      <x:c r="E5" s="14" t="n">
        <x:v>3</x:v>
      </x:c>
      <x:c r="F5" s="14" t="str">
        <x:v>极值与曲线性质</x:v>
      </x:c>
      <x:c r="G5" s="14" t="str">
        <x:v>极大点</x:v>
      </x:c>
      <x:c r="H5" s="14" t="str">
        <x:v>source_provided</x:v>
      </x:c>
      <x:c r="I5" s="14" t="str">
        <x:v>M2Quick Drill-微分法的应用.mmd.zip</x:v>
      </x:c>
      <x:c r="J5" s="39" t="str">
        <x:v>audit_passed</x:v>
      </x:c>
      <x:c r="K5" s="41" t="str">
        <x:v>未批准</x:v>
      </x:c>
    </x:row>
    <x:row r="6">
      <x:c r="A6" s="14" t="str">
        <x:v>M2QD-DA-EXAMPLE-Q3</x:v>
      </x:c>
      <x:c r="B6" s="14" t="str">
        <x:v>教材例题</x:v>
      </x:c>
      <x:c r="C6" s="14" t="str">
        <x:v>EXAMPLE-Q3</x:v>
      </x:c>
      <x:c r="D6" s="14" t="n">
        <x:v>4</x:v>
      </x:c>
      <x:c r="E6" s="14" t="n">
        <x:v>4</x:v>
      </x:c>
      <x:c r="F6" s="14" t="str">
        <x:v>最值与最优化</x:v>
      </x:c>
      <x:c r="G6" s="14" t="str">
        <x:v>全局最小值</x:v>
      </x:c>
      <x:c r="H6" s="14" t="str">
        <x:v>source_provided</x:v>
      </x:c>
      <x:c r="I6" s="14" t="str">
        <x:v>M2Quick Drill-微分法的应用.mmd.zip</x:v>
      </x:c>
      <x:c r="J6" s="39" t="str">
        <x:v>audit_passed</x:v>
      </x:c>
      <x:c r="K6" s="41" t="str">
        <x:v>未批准</x:v>
      </x:c>
    </x:row>
    <x:row r="7">
      <x:c r="A7" s="14" t="str">
        <x:v>M2QD-DA-EXAMPLE-Q4</x:v>
      </x:c>
      <x:c r="B7" s="14" t="str">
        <x:v>教材例题</x:v>
      </x:c>
      <x:c r="C7" s="14" t="str">
        <x:v>EXAMPLE-Q4</x:v>
      </x:c>
      <x:c r="D7" s="14" t="n">
        <x:v>6</x:v>
      </x:c>
      <x:c r="E7" s="14" t="n">
        <x:v>3</x:v>
      </x:c>
      <x:c r="F7" s="14" t="str">
        <x:v>极值与曲线性质</x:v>
      </x:c>
      <x:c r="G7" s="14" t="str">
        <x:v>拐点</x:v>
      </x:c>
      <x:c r="H7" s="14" t="str">
        <x:v>source_provided</x:v>
      </x:c>
      <x:c r="I7" s="14" t="str">
        <x:v>M2Quick Drill-微分法的应用.mmd.zip</x:v>
      </x:c>
      <x:c r="J7" s="39" t="str">
        <x:v>audit_passed</x:v>
      </x:c>
      <x:c r="K7" s="41" t="str">
        <x:v>未批准</x:v>
      </x:c>
    </x:row>
    <x:row r="8">
      <x:c r="A8" s="14" t="str">
        <x:v>M2QD-DA-EXAMPLE-Q5</x:v>
      </x:c>
      <x:c r="B8" s="14" t="str">
        <x:v>教材例题</x:v>
      </x:c>
      <x:c r="C8" s="14" t="str">
        <x:v>EXAMPLE-Q5</x:v>
      </x:c>
      <x:c r="D8" s="14" t="n">
        <x:v>3</x:v>
      </x:c>
      <x:c r="E8" s="14" t="n">
        <x:v>2</x:v>
      </x:c>
      <x:c r="F8" s="14" t="str">
        <x:v>极值与曲线性质</x:v>
      </x:c>
      <x:c r="G8" s="14" t="str">
        <x:v>渐近线</x:v>
      </x:c>
      <x:c r="H8" s="14" t="str">
        <x:v>source_provided</x:v>
      </x:c>
      <x:c r="I8" s="14" t="str">
        <x:v>M2Quick Drill-微分法的应用.mmd.zip</x:v>
      </x:c>
      <x:c r="J8" s="39" t="str">
        <x:v>audit_passed</x:v>
      </x:c>
      <x:c r="K8" s="41" t="str">
        <x:v>未批准</x:v>
      </x:c>
    </x:row>
    <x:row r="9">
      <x:c r="A9" s="14" t="str">
        <x:v>M2QD-DA-EXAMPLE-Q6</x:v>
      </x:c>
      <x:c r="B9" s="14" t="str">
        <x:v>教材例题</x:v>
      </x:c>
      <x:c r="C9" s="14" t="str">
        <x:v>EXAMPLE-Q6</x:v>
      </x:c>
      <x:c r="D9" s="14" t="n">
        <x:v>12</x:v>
      </x:c>
      <x:c r="E9" s="14" t="n">
        <x:v>5</x:v>
      </x:c>
      <x:c r="F9" s="14" t="str">
        <x:v>综合微分应用</x:v>
      </x:c>
      <x:c r="G9" s="14" t="str">
        <x:v>切点未知求法线；几何最优化；相关变化率；面积变化；建立变量关系；综合题目</x:v>
      </x:c>
      <x:c r="H9" s="14" t="str">
        <x:v>source_provided</x:v>
      </x:c>
      <x:c r="I9" s="14" t="str">
        <x:v>M2Quick Drill-微分法的应用.mmd.zip</x:v>
      </x:c>
      <x:c r="J9" s="39" t="str">
        <x:v>audit_passed</x:v>
      </x:c>
      <x:c r="K9" s="41" t="str">
        <x:v>未批准</x:v>
      </x:c>
    </x:row>
    <x:row r="10">
      <x:c r="A10" s="14" t="str">
        <x:v>M2QD-DA-EXAMPLE-Q7</x:v>
      </x:c>
      <x:c r="B10" s="14" t="str">
        <x:v>教材例题</x:v>
      </x:c>
      <x:c r="C10" s="14" t="str">
        <x:v>EXAMPLE-Q7</x:v>
      </x:c>
      <x:c r="D10" s="14" t="n">
        <x:v>6</x:v>
      </x:c>
      <x:c r="E10" s="14" t="n">
        <x:v>4</x:v>
      </x:c>
      <x:c r="F10" s="14" t="str">
        <x:v>变率</x:v>
      </x:c>
      <x:c r="G10" s="14" t="str">
        <x:v>相关变化率；几何量变化；面积变化；链式法则建模；建立变量关系</x:v>
      </x:c>
      <x:c r="H10" s="14" t="str">
        <x:v>source_provided</x:v>
      </x:c>
      <x:c r="I10" s="14" t="str">
        <x:v>M2Quick Drill-微分法的应用.mmd.zip</x:v>
      </x:c>
      <x:c r="J10" s="39" t="str">
        <x:v>audit_passed</x:v>
      </x:c>
      <x:c r="K10" s="41" t="str">
        <x:v>未批准</x:v>
      </x:c>
    </x:row>
    <x:row r="11">
      <x:c r="A11" s="14" t="str">
        <x:v>M2QD-DA-EXAMPLE-Q8</x:v>
      </x:c>
      <x:c r="B11" s="14" t="str">
        <x:v>教材例题</x:v>
      </x:c>
      <x:c r="C11" s="14" t="str">
        <x:v>EXAMPLE-Q8</x:v>
      </x:c>
      <x:c r="D11" s="14" t="n">
        <x:v>9</x:v>
      </x:c>
      <x:c r="E11" s="14" t="n">
        <x:v>4</x:v>
      </x:c>
      <x:c r="F11" s="14" t="str">
        <x:v>综合微分应用</x:v>
      </x:c>
      <x:c r="G11" s="14" t="str">
        <x:v>极大点；极小点；二阶导数判别法；已知切点求切线；凹凸性；综合题目</x:v>
      </x:c>
      <x:c r="H11" s="14" t="str">
        <x:v>source_provided</x:v>
      </x:c>
      <x:c r="I11" s="14" t="str">
        <x:v>M2Quick Drill-微分法的应用.mmd.zip</x:v>
      </x:c>
      <x:c r="J11" s="39" t="str">
        <x:v>audit_passed</x:v>
      </x:c>
      <x:c r="K11" s="41" t="str">
        <x:v>未批准</x:v>
      </x:c>
    </x:row>
    <x:row r="12">
      <x:c r="A12" s="14" t="str">
        <x:v>M2QD-DA-TRAIN-Q1</x:v>
      </x:c>
      <x:c r="B12" s="14" t="str">
        <x:v>应试训练</x:v>
      </x:c>
      <x:c r="C12" s="14" t="str">
        <x:v>TRAIN-Q1</x:v>
      </x:c>
      <x:c r="D12" s="14" t="n">
        <x:v>6</x:v>
      </x:c>
      <x:c r="E12" s="14" t="n">
        <x:v>3</x:v>
      </x:c>
      <x:c r="F12" s="14" t="str">
        <x:v>切线与法线</x:v>
      </x:c>
      <x:c r="G12" s="14" t="str">
        <x:v>切点未知；隐函数求导</x:v>
      </x:c>
      <x:c r="H12" s="14" t="str">
        <x:v>source_provided</x:v>
      </x:c>
      <x:c r="I12" s="14" t="str">
        <x:v>微分的应用甲部.mmd.zip</x:v>
      </x:c>
      <x:c r="J12" s="39" t="str">
        <x:v>audit_passed</x:v>
      </x:c>
      <x:c r="K12" s="41" t="str">
        <x:v>未批准</x:v>
      </x:c>
    </x:row>
    <x:row r="13">
      <x:c r="A13" s="14" t="str">
        <x:v>M2QD-DA-TRAIN-Q2</x:v>
      </x:c>
      <x:c r="B13" s="14" t="str">
        <x:v>应试训练</x:v>
      </x:c>
      <x:c r="C13" s="14" t="str">
        <x:v>TRAIN-Q2</x:v>
      </x:c>
      <x:c r="D13" s="14" t="n">
        <x:v>6</x:v>
      </x:c>
      <x:c r="E13" s="14" t="n">
        <x:v>4</x:v>
      </x:c>
      <x:c r="F13" s="14" t="str">
        <x:v>切线与法线</x:v>
      </x:c>
      <x:c r="G13" s="14" t="str">
        <x:v>过指定点的切线；切点未知；隐函数求导</x:v>
      </x:c>
      <x:c r="H13" s="14" t="str">
        <x:v>source_provided</x:v>
      </x:c>
      <x:c r="I13" s="14" t="str">
        <x:v>微分的应用甲部.mmd.zip</x:v>
      </x:c>
      <x:c r="J13" s="39" t="str">
        <x:v>audit_passed</x:v>
      </x:c>
      <x:c r="K13" s="41" t="str">
        <x:v>未批准</x:v>
      </x:c>
    </x:row>
    <x:row r="14">
      <x:c r="A14" s="14" t="str">
        <x:v>M2QD-DA-TRAIN-Q3</x:v>
      </x:c>
      <x:c r="B14" s="14" t="str">
        <x:v>应试训练</x:v>
      </x:c>
      <x:c r="C14" s="14" t="str">
        <x:v>TRAIN-Q3</x:v>
      </x:c>
      <x:c r="D14" s="14" t="n">
        <x:v>4</x:v>
      </x:c>
      <x:c r="E14" s="14" t="n">
        <x:v>2</x:v>
      </x:c>
      <x:c r="F14" s="14" t="str">
        <x:v>极值与曲线性质</x:v>
      </x:c>
      <x:c r="G14" s="14" t="str">
        <x:v>极小点</x:v>
      </x:c>
      <x:c r="H14" s="14" t="str">
        <x:v>source_provided</x:v>
      </x:c>
      <x:c r="I14" s="14" t="str">
        <x:v>微分的应用甲部.mmd.zip</x:v>
      </x:c>
      <x:c r="J14" s="39" t="str">
        <x:v>audit_passed</x:v>
      </x:c>
      <x:c r="K14" s="41" t="str">
        <x:v>未批准</x:v>
      </x:c>
    </x:row>
    <x:row r="15">
      <x:c r="A15" s="14" t="str">
        <x:v>M2QD-DA-TRAIN-Q4</x:v>
      </x:c>
      <x:c r="B15" s="14" t="str">
        <x:v>应试训练</x:v>
      </x:c>
      <x:c r="C15" s="14" t="str">
        <x:v>TRAIN-Q4</x:v>
      </x:c>
      <x:c r="D15" s="14" t="n">
        <x:v>6</x:v>
      </x:c>
      <x:c r="E15" s="14" t="n">
        <x:v>3</x:v>
      </x:c>
      <x:c r="F15" s="14" t="str">
        <x:v>极值与曲线性质</x:v>
      </x:c>
      <x:c r="G15" s="14" t="str">
        <x:v>极大点</x:v>
      </x:c>
      <x:c r="H15" s="14" t="str">
        <x:v>source_provided</x:v>
      </x:c>
      <x:c r="I15" s="14" t="str">
        <x:v>微分的应用甲部.mmd.zip</x:v>
      </x:c>
      <x:c r="J15" s="39" t="str">
        <x:v>audit_passed</x:v>
      </x:c>
      <x:c r="K15" s="41" t="str">
        <x:v>未批准</x:v>
      </x:c>
    </x:row>
    <x:row r="16">
      <x:c r="A16" s="14" t="str">
        <x:v>M2QD-DA-TRAIN-Q5</x:v>
      </x:c>
      <x:c r="B16" s="14" t="str">
        <x:v>应试训练</x:v>
      </x:c>
      <x:c r="C16" s="14" t="str">
        <x:v>TRAIN-Q5</x:v>
      </x:c>
      <x:c r="D16" s="14" t="n">
        <x:v>4</x:v>
      </x:c>
      <x:c r="E16" s="14" t="n">
        <x:v>3</x:v>
      </x:c>
      <x:c r="F16" s="14" t="str">
        <x:v>最值与最优化</x:v>
      </x:c>
      <x:c r="G16" s="14" t="str">
        <x:v>极大点</x:v>
      </x:c>
      <x:c r="H16" s="14" t="str">
        <x:v>source_provided</x:v>
      </x:c>
      <x:c r="I16" s="14" t="str">
        <x:v>微分的应用甲部.mmd.zip</x:v>
      </x:c>
      <x:c r="J16" s="39" t="str">
        <x:v>audit_passed</x:v>
      </x:c>
      <x:c r="K16" s="41" t="str">
        <x:v>未批准</x:v>
      </x:c>
    </x:row>
    <x:row r="17">
      <x:c r="A17" s="14" t="str">
        <x:v>M2QD-DA-TRAIN-Q6</x:v>
      </x:c>
      <x:c r="B17" s="14" t="str">
        <x:v>应试训练</x:v>
      </x:c>
      <x:c r="C17" s="14" t="str">
        <x:v>TRAIN-Q6</x:v>
      </x:c>
      <x:c r="D17" s="14" t="n">
        <x:v>4</x:v>
      </x:c>
      <x:c r="E17" s="14" t="n">
        <x:v>3</x:v>
      </x:c>
      <x:c r="F17" s="14" t="str">
        <x:v>最值与最优化</x:v>
      </x:c>
      <x:c r="G17" s="14" t="str">
        <x:v>极小点；区间最值；端点比较</x:v>
      </x:c>
      <x:c r="H17" s="14" t="str">
        <x:v>source_provided</x:v>
      </x:c>
      <x:c r="I17" s="14" t="str">
        <x:v>微分的应用甲部.mmd.zip</x:v>
      </x:c>
      <x:c r="J17" s="39" t="str">
        <x:v>audit_passed</x:v>
      </x:c>
      <x:c r="K17" s="41" t="str">
        <x:v>未批准</x:v>
      </x:c>
    </x:row>
    <x:row r="18">
      <x:c r="A18" s="14" t="str">
        <x:v>M2QD-DA-TRAIN-Q7</x:v>
      </x:c>
      <x:c r="B18" s="14" t="str">
        <x:v>应试训练</x:v>
      </x:c>
      <x:c r="C18" s="14" t="str">
        <x:v>TRAIN-Q7</x:v>
      </x:c>
      <x:c r="D18" s="14" t="n">
        <x:v>6</x:v>
      </x:c>
      <x:c r="E18" s="14" t="n">
        <x:v>3</x:v>
      </x:c>
      <x:c r="F18" s="14" t="str">
        <x:v>极值与曲线性质</x:v>
      </x:c>
      <x:c r="G18" s="14" t="str">
        <x:v>拐点；凹凸性</x:v>
      </x:c>
      <x:c r="H18" s="14" t="str">
        <x:v>source_provided</x:v>
      </x:c>
      <x:c r="I18" s="14" t="str">
        <x:v>微分的应用甲部.mmd.zip</x:v>
      </x:c>
      <x:c r="J18" s="39" t="str">
        <x:v>audit_passed</x:v>
      </x:c>
      <x:c r="K18" s="41" t="str">
        <x:v>未批准</x:v>
      </x:c>
    </x:row>
    <x:row r="19">
      <x:c r="A19" s="14" t="str">
        <x:v>M2QD-DA-TRAIN-Q8</x:v>
      </x:c>
      <x:c r="B19" s="14" t="str">
        <x:v>应试训练</x:v>
      </x:c>
      <x:c r="C19" s="14" t="str">
        <x:v>TRAIN-Q8</x:v>
      </x:c>
      <x:c r="D19" s="14" t="n">
        <x:v>6</x:v>
      </x:c>
      <x:c r="E19" s="14" t="n">
        <x:v>3</x:v>
      </x:c>
      <x:c r="F19" s="14" t="str">
        <x:v>极值与曲线性质</x:v>
      </x:c>
      <x:c r="G19" s="14" t="str">
        <x:v>拐点；凹凸性</x:v>
      </x:c>
      <x:c r="H19" s="14" t="str">
        <x:v>source_provided</x:v>
      </x:c>
      <x:c r="I19" s="14" t="str">
        <x:v>微分的应用甲部.mmd.zip</x:v>
      </x:c>
      <x:c r="J19" s="39" t="str">
        <x:v>audit_passed</x:v>
      </x:c>
      <x:c r="K19" s="41" t="str">
        <x:v>未批准</x:v>
      </x:c>
    </x:row>
    <x:row r="20">
      <x:c r="A20" s="14" t="str">
        <x:v>M2QD-DA-TRAIN-Q9</x:v>
      </x:c>
      <x:c r="B20" s="14" t="str">
        <x:v>应试训练</x:v>
      </x:c>
      <x:c r="C20" s="14" t="str">
        <x:v>TRAIN-Q9</x:v>
      </x:c>
      <x:c r="D20" s="14" t="n">
        <x:v>3</x:v>
      </x:c>
      <x:c r="E20" s="14" t="n">
        <x:v>2</x:v>
      </x:c>
      <x:c r="F20" s="14" t="str">
        <x:v>极值与曲线性质</x:v>
      </x:c>
      <x:c r="G20" s="14" t="str">
        <x:v>渐近线</x:v>
      </x:c>
      <x:c r="H20" s="14" t="str">
        <x:v>source_provided</x:v>
      </x:c>
      <x:c r="I20" s="14" t="str">
        <x:v>微分的应用甲部.mmd.zip</x:v>
      </x:c>
      <x:c r="J20" s="39" t="str">
        <x:v>audit_passed</x:v>
      </x:c>
      <x:c r="K20" s="41" t="str">
        <x:v>未批准</x:v>
      </x:c>
    </x:row>
    <x:row r="21">
      <x:c r="A21" s="14" t="str">
        <x:v>M2QD-DA-TRAIN-Q10</x:v>
      </x:c>
      <x:c r="B21" s="14" t="str">
        <x:v>应试训练</x:v>
      </x:c>
      <x:c r="C21" s="14" t="str">
        <x:v>TRAIN-Q10</x:v>
      </x:c>
      <x:c r="D21" s="14" t="n">
        <x:v>6</x:v>
      </x:c>
      <x:c r="E21" s="14" t="n">
        <x:v>4</x:v>
      </x:c>
      <x:c r="F21" s="14" t="str">
        <x:v>极值与曲线性质</x:v>
      </x:c>
      <x:c r="G21" s="14" t="str">
        <x:v>渐近线；拐点；凹凸性</x:v>
      </x:c>
      <x:c r="H21" s="14" t="str">
        <x:v>source_provided</x:v>
      </x:c>
      <x:c r="I21" s="14" t="str">
        <x:v>微分的应用甲部.mmd.zip</x:v>
      </x:c>
      <x:c r="J21" s="39" t="str">
        <x:v>audit_passed</x:v>
      </x:c>
      <x:c r="K21" s="41" t="str">
        <x:v>未批准</x:v>
      </x:c>
    </x:row>
    <x:row r="22">
      <x:c r="A22" s="14" t="str">
        <x:v>M2QD-DA-TRAIN-Q11</x:v>
      </x:c>
      <x:c r="B22" s="14" t="str">
        <x:v>应试训练</x:v>
      </x:c>
      <x:c r="C22" s="14" t="str">
        <x:v>TRAIN-Q11</x:v>
      </x:c>
      <x:c r="D22" s="14" t="n">
        <x:v>8</x:v>
      </x:c>
      <x:c r="E22" s="14" t="n">
        <x:v>4</x:v>
      </x:c>
      <x:c r="F22" s="14" t="str">
        <x:v>极值与曲线性质</x:v>
      </x:c>
      <x:c r="G22" s="14" t="str">
        <x:v>极大点；极小点；拐点；渐近线；曲线作图</x:v>
      </x:c>
      <x:c r="H22" s="14" t="str">
        <x:v>source_provided</x:v>
      </x:c>
      <x:c r="I22" s="14" t="str">
        <x:v>微分的应用甲部.mmd.zip</x:v>
      </x:c>
      <x:c r="J22" s="39" t="str">
        <x:v>audit_passed</x:v>
      </x:c>
      <x:c r="K22" s="41" t="str">
        <x:v>未批准</x:v>
      </x:c>
    </x:row>
    <x:row r="23">
      <x:c r="A23" s="14" t="str">
        <x:v>M2QD-DA-TRAIN-Q12</x:v>
      </x:c>
      <x:c r="B23" s="14" t="str">
        <x:v>应试训练</x:v>
      </x:c>
      <x:c r="C23" s="14" t="str">
        <x:v>TRAIN-Q12</x:v>
      </x:c>
      <x:c r="D23" s="14" t="n">
        <x:v>8</x:v>
      </x:c>
      <x:c r="E23" s="14" t="n">
        <x:v>4</x:v>
      </x:c>
      <x:c r="F23" s="14" t="str">
        <x:v>极值与曲线性质</x:v>
      </x:c>
      <x:c r="G23" s="14" t="str">
        <x:v>极大点；极小点；拐点；渐近线；曲线作图</x:v>
      </x:c>
      <x:c r="H23" s="14" t="str">
        <x:v>source_provided</x:v>
      </x:c>
      <x:c r="I23" s="14" t="str">
        <x:v>微分的应用甲部.mmd.zip</x:v>
      </x:c>
      <x:c r="J23" s="39" t="str">
        <x:v>audit_passed</x:v>
      </x:c>
      <x:c r="K23" s="41" t="str">
        <x:v>未批准</x:v>
      </x:c>
    </x:row>
    <x:row r="24">
      <x:c r="A24" s="14" t="str">
        <x:v>M2QD-DA-TRAIN-Q13</x:v>
      </x:c>
      <x:c r="B24" s="14" t="str">
        <x:v>应试训练</x:v>
      </x:c>
      <x:c r="C24" s="14" t="str">
        <x:v>TRAIN-Q13</x:v>
      </x:c>
      <x:c r="D24" s="14" t="n">
        <x:v>3</x:v>
      </x:c>
      <x:c r="E24" s="14" t="n">
        <x:v>2</x:v>
      </x:c>
      <x:c r="F24" s="14" t="str">
        <x:v>变率</x:v>
      </x:c>
      <x:c r="G24" s="14" t="str">
        <x:v>相关变化率；体积变化</x:v>
      </x:c>
      <x:c r="H24" s="14" t="str">
        <x:v>source_provided</x:v>
      </x:c>
      <x:c r="I24" s="14" t="str">
        <x:v>微分的应用甲部.mmd.zip</x:v>
      </x:c>
      <x:c r="J24" s="39" t="str">
        <x:v>audit_passed</x:v>
      </x:c>
      <x:c r="K24" s="41" t="str">
        <x:v>未批准</x:v>
      </x:c>
    </x:row>
    <x:row r="25">
      <x:c r="A25" s="14" t="str">
        <x:v>M2QD-DA-TRAIN-Q14</x:v>
      </x:c>
      <x:c r="B25" s="14" t="str">
        <x:v>应试训练</x:v>
      </x:c>
      <x:c r="C25" s="14" t="str">
        <x:v>TRAIN-Q14</x:v>
      </x:c>
      <x:c r="D25" s="14" t="n">
        <x:v>5</x:v>
      </x:c>
      <x:c r="E25" s="14" t="n">
        <x:v>3</x:v>
      </x:c>
      <x:c r="F25" s="14" t="str">
        <x:v>变率</x:v>
      </x:c>
      <x:c r="G25" s="14" t="str">
        <x:v>相关变化率；面积变化；建立变量关系</x:v>
      </x:c>
      <x:c r="H25" s="14" t="str">
        <x:v>source_provided</x:v>
      </x:c>
      <x:c r="I25" s="14" t="str">
        <x:v>微分的应用甲部.mmd.zip</x:v>
      </x:c>
      <x:c r="J25" s="39" t="str">
        <x:v>audit_passed</x:v>
      </x:c>
      <x:c r="K25" s="41" t="str">
        <x:v>未批准</x:v>
      </x:c>
    </x:row>
    <x:row r="26">
      <x:c r="A26" s="14" t="str">
        <x:v>M2QD-DA-PARTA-Q1</x:v>
      </x:c>
      <x:c r="B26" s="14" t="str">
        <x:v>甲部特训</x:v>
      </x:c>
      <x:c r="C26" s="14" t="str">
        <x:v>PARTA-Q1</x:v>
      </x:c>
      <x:c r="D26" s="14" t="n">
        <x:v>4</x:v>
      </x:c>
      <x:c r="E26" s="14" t="n">
        <x:v>2</x:v>
      </x:c>
      <x:c r="F26" s="14" t="str">
        <x:v>切线与法线</x:v>
      </x:c>
      <x:c r="G26" s="14" t="str">
        <x:v>已知切点求切线；隐函数求导</x:v>
      </x:c>
      <x:c r="H26" s="14" t="str">
        <x:v>source_provided</x:v>
      </x:c>
      <x:c r="I26" s="14" t="str">
        <x:v>微分的应用甲部.mmd.zip</x:v>
      </x:c>
      <x:c r="J26" s="39" t="str">
        <x:v>audit_passed</x:v>
      </x:c>
      <x:c r="K26" s="41" t="str">
        <x:v>未批准</x:v>
      </x:c>
    </x:row>
    <x:row r="27">
      <x:c r="A27" s="14" t="str">
        <x:v>M2QD-DA-PARTA-Q2</x:v>
      </x:c>
      <x:c r="B27" s="14" t="str">
        <x:v>甲部特训</x:v>
      </x:c>
      <x:c r="C27" s="14" t="str">
        <x:v>PARTA-Q2</x:v>
      </x:c>
      <x:c r="D27" s="14" t="n">
        <x:v>4</x:v>
      </x:c>
      <x:c r="E27" s="14" t="n">
        <x:v>3</x:v>
      </x:c>
      <x:c r="F27" s="14" t="str">
        <x:v>切线与法线</x:v>
      </x:c>
      <x:c r="G27" s="14" t="str">
        <x:v>与指定直线平行的切线；切点未知</x:v>
      </x:c>
      <x:c r="H27" s="14" t="str">
        <x:v>source_provided</x:v>
      </x:c>
      <x:c r="I27" s="14" t="str">
        <x:v>微分的应用甲部.mmd.zip</x:v>
      </x:c>
      <x:c r="J27" s="39" t="str">
        <x:v>audit_passed</x:v>
      </x:c>
      <x:c r="K27" s="41" t="str">
        <x:v>未批准</x:v>
      </x:c>
    </x:row>
    <x:row r="28">
      <x:c r="A28" s="14" t="str">
        <x:v>M2QD-DA-PARTA-Q3</x:v>
      </x:c>
      <x:c r="B28" s="14" t="str">
        <x:v>甲部特训</x:v>
      </x:c>
      <x:c r="C28" s="14" t="str">
        <x:v>PARTA-Q3</x:v>
      </x:c>
      <x:c r="D28" s="14" t="n">
        <x:v>6</x:v>
      </x:c>
      <x:c r="E28" s="14" t="n">
        <x:v>4</x:v>
      </x:c>
      <x:c r="F28" s="14" t="str">
        <x:v>切线与法线</x:v>
      </x:c>
      <x:c r="G28" s="14" t="str">
        <x:v>过指定点的切线；切点未知</x:v>
      </x:c>
      <x:c r="H28" s="14" t="str">
        <x:v>source_provided</x:v>
      </x:c>
      <x:c r="I28" s="14" t="str">
        <x:v>微分的应用甲部.mmd.zip</x:v>
      </x:c>
      <x:c r="J28" s="39" t="str">
        <x:v>audit_passed</x:v>
      </x:c>
      <x:c r="K28" s="41" t="str">
        <x:v>未批准</x:v>
      </x:c>
    </x:row>
    <x:row r="29">
      <x:c r="A29" s="14" t="str">
        <x:v>M2QD-DA-PARTA-Q4</x:v>
      </x:c>
      <x:c r="B29" s="14" t="str">
        <x:v>甲部特训</x:v>
      </x:c>
      <x:c r="C29" s="14" t="str">
        <x:v>PARTA-Q4</x:v>
      </x:c>
      <x:c r="D29" s="14" t="n">
        <x:v>3</x:v>
      </x:c>
      <x:c r="E29" s="14" t="n">
        <x:v>2</x:v>
      </x:c>
      <x:c r="F29" s="14" t="str">
        <x:v>极值与曲线性质</x:v>
      </x:c>
      <x:c r="G29" s="14" t="str">
        <x:v>极大点</x:v>
      </x:c>
      <x:c r="H29" s="14" t="str">
        <x:v>source_provided</x:v>
      </x:c>
      <x:c r="I29" s="14" t="str">
        <x:v>微分的应用甲部.mmd.zip</x:v>
      </x:c>
      <x:c r="J29" s="39" t="str">
        <x:v>audit_passed</x:v>
      </x:c>
      <x:c r="K29" s="41" t="str">
        <x:v>未批准</x:v>
      </x:c>
    </x:row>
    <x:row r="30">
      <x:c r="A30" s="14" t="str">
        <x:v>M2QD-DA-PARTA-Q5</x:v>
      </x:c>
      <x:c r="B30" s="14" t="str">
        <x:v>甲部特训</x:v>
      </x:c>
      <x:c r="C30" s="14" t="str">
        <x:v>PARTA-Q5</x:v>
      </x:c>
      <x:c r="D30" s="14" t="n">
        <x:v>3</x:v>
      </x:c>
      <x:c r="E30" s="14" t="n">
        <x:v>2</x:v>
      </x:c>
      <x:c r="F30" s="14" t="str">
        <x:v>极值与曲线性质</x:v>
      </x:c>
      <x:c r="G30" s="14" t="str">
        <x:v>极小点</x:v>
      </x:c>
      <x:c r="H30" s="14" t="str">
        <x:v>source_provided</x:v>
      </x:c>
      <x:c r="I30" s="14" t="str">
        <x:v>微分的应用甲部.mmd.zip</x:v>
      </x:c>
      <x:c r="J30" s="39" t="str">
        <x:v>audit_passed</x:v>
      </x:c>
      <x:c r="K30" s="41" t="str">
        <x:v>未批准</x:v>
      </x:c>
    </x:row>
    <x:row r="31">
      <x:c r="A31" s="14" t="str">
        <x:v>M2QD-DA-PARTA-Q6</x:v>
      </x:c>
      <x:c r="B31" s="14" t="str">
        <x:v>甲部特训</x:v>
      </x:c>
      <x:c r="C31" s="14" t="str">
        <x:v>PARTA-Q6</x:v>
      </x:c>
      <x:c r="D31" s="14" t="n">
        <x:v>5</x:v>
      </x:c>
      <x:c r="E31" s="14" t="n">
        <x:v>3</x:v>
      </x:c>
      <x:c r="F31" s="14" t="str">
        <x:v>最值与最优化</x:v>
      </x:c>
      <x:c r="G31" s="14" t="str">
        <x:v>区间最值；端点比较</x:v>
      </x:c>
      <x:c r="H31" s="14" t="str">
        <x:v>source_provided</x:v>
      </x:c>
      <x:c r="I31" s="14" t="str">
        <x:v>微分的应用甲部.mmd.zip</x:v>
      </x:c>
      <x:c r="J31" s="39" t="str">
        <x:v>audit_passed</x:v>
      </x:c>
      <x:c r="K31" s="41" t="str">
        <x:v>未批准</x:v>
      </x:c>
    </x:row>
    <x:row r="32">
      <x:c r="A32" s="14" t="str">
        <x:v>M2QD-DA-PARTA-Q7</x:v>
      </x:c>
      <x:c r="B32" s="14" t="str">
        <x:v>甲部特训</x:v>
      </x:c>
      <x:c r="C32" s="14" t="str">
        <x:v>PARTA-Q7</x:v>
      </x:c>
      <x:c r="D32" s="14" t="n">
        <x:v>5</x:v>
      </x:c>
      <x:c r="E32" s="14" t="n">
        <x:v>3</x:v>
      </x:c>
      <x:c r="F32" s="14" t="str">
        <x:v>最值与最优化</x:v>
      </x:c>
      <x:c r="G32" s="14" t="str">
        <x:v>区间最值；端点比较</x:v>
      </x:c>
      <x:c r="H32" s="14" t="str">
        <x:v>source_provided</x:v>
      </x:c>
      <x:c r="I32" s="14" t="str">
        <x:v>微分的应用甲部.mmd.zip</x:v>
      </x:c>
      <x:c r="J32" s="39" t="str">
        <x:v>audit_passed</x:v>
      </x:c>
      <x:c r="K32" s="41" t="str">
        <x:v>未批准</x:v>
      </x:c>
    </x:row>
    <x:row r="33">
      <x:c r="A33" s="14" t="str">
        <x:v>M2QD-DA-PARTA-Q8</x:v>
      </x:c>
      <x:c r="B33" s="14" t="str">
        <x:v>甲部特训</x:v>
      </x:c>
      <x:c r="C33" s="14" t="str">
        <x:v>PARTA-Q8</x:v>
      </x:c>
      <x:c r="D33" s="14" t="n">
        <x:v>6</x:v>
      </x:c>
      <x:c r="E33" s="14" t="n">
        <x:v>3</x:v>
      </x:c>
      <x:c r="F33" s="14" t="str">
        <x:v>极值与曲线性质</x:v>
      </x:c>
      <x:c r="G33" s="14" t="str">
        <x:v>拐点</x:v>
      </x:c>
      <x:c r="H33" s="14" t="str">
        <x:v>source_provided</x:v>
      </x:c>
      <x:c r="I33" s="14" t="str">
        <x:v>微分的应用甲部.mmd.zip</x:v>
      </x:c>
      <x:c r="J33" s="39" t="str">
        <x:v>audit_passed</x:v>
      </x:c>
      <x:c r="K33" s="41" t="str">
        <x:v>未批准</x:v>
      </x:c>
    </x:row>
    <x:row r="34">
      <x:c r="A34" s="14" t="str">
        <x:v>M2QD-DA-PARTA-Q9</x:v>
      </x:c>
      <x:c r="B34" s="14" t="str">
        <x:v>甲部特训</x:v>
      </x:c>
      <x:c r="C34" s="14" t="str">
        <x:v>PARTA-Q9</x:v>
      </x:c>
      <x:c r="D34" s="14" t="n">
        <x:v>7</x:v>
      </x:c>
      <x:c r="E34" s="14" t="n">
        <x:v>3</x:v>
      </x:c>
      <x:c r="F34" s="14" t="str">
        <x:v>极值与曲线性质</x:v>
      </x:c>
      <x:c r="G34" s="14" t="str">
        <x:v>极大点；极小点；渐近线</x:v>
      </x:c>
      <x:c r="H34" s="14" t="str">
        <x:v>source_provided</x:v>
      </x:c>
      <x:c r="I34" s="14" t="str">
        <x:v>微分的应用甲部.mmd.zip</x:v>
      </x:c>
      <x:c r="J34" s="39" t="str">
        <x:v>audit_passed</x:v>
      </x:c>
      <x:c r="K34" s="41" t="str">
        <x:v>未批准</x:v>
      </x:c>
    </x:row>
    <x:row r="35">
      <x:c r="A35" s="14" t="str">
        <x:v>M2QD-DA-PARTA-Q10</x:v>
      </x:c>
      <x:c r="B35" s="14" t="str">
        <x:v>甲部特训</x:v>
      </x:c>
      <x:c r="C35" s="14" t="str">
        <x:v>PARTA-Q10</x:v>
      </x:c>
      <x:c r="D35" s="14" t="n">
        <x:v>6</x:v>
      </x:c>
      <x:c r="E35" s="14" t="n">
        <x:v>3</x:v>
      </x:c>
      <x:c r="F35" s="14" t="str">
        <x:v>极值与曲线性质</x:v>
      </x:c>
      <x:c r="G35" s="14" t="str">
        <x:v>极大点；极小点；拐点；曲线作图</x:v>
      </x:c>
      <x:c r="H35" s="14" t="str">
        <x:v>source_provided</x:v>
      </x:c>
      <x:c r="I35" s="14" t="str">
        <x:v>微分的应用甲部.mmd.zip</x:v>
      </x:c>
      <x:c r="J35" s="39" t="str">
        <x:v>audit_passed</x:v>
      </x:c>
      <x:c r="K35" s="41" t="str">
        <x:v>未批准</x:v>
      </x:c>
    </x:row>
    <x:row r="36">
      <x:c r="A36" s="14" t="str">
        <x:v>M2QD-DA-PARTA-Q11</x:v>
      </x:c>
      <x:c r="B36" s="14" t="str">
        <x:v>甲部特训</x:v>
      </x:c>
      <x:c r="C36" s="14" t="str">
        <x:v>PARTA-Q11</x:v>
      </x:c>
      <x:c r="D36" s="14" t="n">
        <x:v>7</x:v>
      </x:c>
      <x:c r="E36" s="14" t="n">
        <x:v>4</x:v>
      </x:c>
      <x:c r="F36" s="14" t="str">
        <x:v>极值与曲线性质</x:v>
      </x:c>
      <x:c r="G36" s="14" t="str">
        <x:v>渐近线；拐点；曲线作图</x:v>
      </x:c>
      <x:c r="H36" s="14" t="str">
        <x:v>source_provided</x:v>
      </x:c>
      <x:c r="I36" s="14" t="str">
        <x:v>微分的应用甲部.mmd.zip</x:v>
      </x:c>
      <x:c r="J36" s="39" t="str">
        <x:v>audit_passed</x:v>
      </x:c>
      <x:c r="K36" s="41" t="str">
        <x:v>未批准</x:v>
      </x:c>
    </x:row>
    <x:row r="37">
      <x:c r="A37" s="14" t="str">
        <x:v>M2QD-DA-PARTA-Q12</x:v>
      </x:c>
      <x:c r="B37" s="14" t="str">
        <x:v>甲部特训</x:v>
      </x:c>
      <x:c r="C37" s="14" t="str">
        <x:v>PARTA-Q12</x:v>
      </x:c>
      <x:c r="D37" s="14" t="n">
        <x:v>7</x:v>
      </x:c>
      <x:c r="E37" s="14" t="n">
        <x:v>4</x:v>
      </x:c>
      <x:c r="F37" s="14" t="str">
        <x:v>变率</x:v>
      </x:c>
      <x:c r="G37" s="14" t="str">
        <x:v>相关变化率；几何量变化；面积变化；体积变化；建立变量关系</x:v>
      </x:c>
      <x:c r="H37" s="14" t="str">
        <x:v>source_provided</x:v>
      </x:c>
      <x:c r="I37" s="14" t="str">
        <x:v>微分的应用甲部.mmd.zip</x:v>
      </x:c>
      <x:c r="J37" s="39" t="str">
        <x:v>audit_passed</x:v>
      </x:c>
      <x:c r="K37" s="41" t="str">
        <x:v>未批准</x:v>
      </x:c>
    </x:row>
    <x:row r="38">
      <x:c r="A38" s="14" t="str">
        <x:v>M2QD-DA-PARTA-Q13</x:v>
      </x:c>
      <x:c r="B38" s="14" t="str">
        <x:v>甲部特训</x:v>
      </x:c>
      <x:c r="C38" s="14" t="str">
        <x:v>PARTA-Q13</x:v>
      </x:c>
      <x:c r="D38" s="14" t="n">
        <x:v>4</x:v>
      </x:c>
      <x:c r="E38" s="14" t="n">
        <x:v>3</x:v>
      </x:c>
      <x:c r="F38" s="14" t="str">
        <x:v>极值与曲线性质</x:v>
      </x:c>
      <x:c r="G38" s="14" t="str">
        <x:v>从基本原理求导；导数为正区间</x:v>
      </x:c>
      <x:c r="H38" s="14" t="str">
        <x:v>source_provided</x:v>
      </x:c>
      <x:c r="I38" s="14" t="str">
        <x:v>微分的应用甲部.mmd.zip</x:v>
      </x:c>
      <x:c r="J38" s="39" t="str">
        <x:v>audit_passed</x:v>
      </x:c>
      <x:c r="K38" s="41" t="str">
        <x:v>未批准</x:v>
      </x:c>
    </x:row>
    <x:row r="39">
      <x:c r="A39" s="14" t="str">
        <x:v>M2QD-DA-PARTA-Q14</x:v>
      </x:c>
      <x:c r="B39" s="14" t="str">
        <x:v>甲部特训</x:v>
      </x:c>
      <x:c r="C39" s="14" t="str">
        <x:v>PARTA-Q14</x:v>
      </x:c>
      <x:c r="D39" s="14" t="n">
        <x:v>5</x:v>
      </x:c>
      <x:c r="E39" s="14" t="n">
        <x:v>2</x:v>
      </x:c>
      <x:c r="F39" s="14" t="str">
        <x:v>极值与曲线性质</x:v>
      </x:c>
      <x:c r="G39" s="14" t="str">
        <x:v>极小点</x:v>
      </x:c>
      <x:c r="H39" s="14" t="str">
        <x:v>source_provided</x:v>
      </x:c>
      <x:c r="I39" s="14" t="str">
        <x:v>微分的应用甲部.mmd.zip</x:v>
      </x:c>
      <x:c r="J39" s="39" t="str">
        <x:v>audit_passed</x:v>
      </x:c>
      <x:c r="K39" s="41" t="str">
        <x:v>未批准</x:v>
      </x:c>
    </x:row>
    <x:row r="40">
      <x:c r="A40" s="14" t="str">
        <x:v>M2QD-DA-PARTA-Q15</x:v>
      </x:c>
      <x:c r="B40" s="14" t="str">
        <x:v>甲部特训</x:v>
      </x:c>
      <x:c r="C40" s="14" t="str">
        <x:v>PARTA-Q15</x:v>
      </x:c>
      <x:c r="D40" s="14" t="n">
        <x:v>8</x:v>
      </x:c>
      <x:c r="E40" s="14" t="n">
        <x:v>4</x:v>
      </x:c>
      <x:c r="F40" s="14" t="str">
        <x:v>极值与曲线性质</x:v>
      </x:c>
      <x:c r="G40" s="14" t="str">
        <x:v>切点未知；拐点；凹凸性</x:v>
      </x:c>
      <x:c r="H40" s="14" t="str">
        <x:v>source_provided</x:v>
      </x:c>
      <x:c r="I40" s="14" t="str">
        <x:v>微分的应用甲部.mmd.zip</x:v>
      </x:c>
      <x:c r="J40" s="39" t="str">
        <x:v>audit_passed</x:v>
      </x:c>
      <x:c r="K40" s="41" t="str">
        <x:v>未批准</x:v>
      </x:c>
    </x:row>
    <x:row r="41">
      <x:c r="A41" s="14" t="str">
        <x:v>M2QD-DA-PARTA-Q16</x:v>
      </x:c>
      <x:c r="B41" s="14" t="str">
        <x:v>甲部特训</x:v>
      </x:c>
      <x:c r="C41" s="14" t="str">
        <x:v>PARTA-Q16</x:v>
      </x:c>
      <x:c r="D41" s="14" t="n">
        <x:v>9</x:v>
      </x:c>
      <x:c r="E41" s="14" t="n">
        <x:v>4</x:v>
      </x:c>
      <x:c r="F41" s="14" t="str">
        <x:v>极值与曲线性质</x:v>
      </x:c>
      <x:c r="G41" s="14" t="str">
        <x:v>渐近线；极小点；拐点</x:v>
      </x:c>
      <x:c r="H41" s="14" t="str">
        <x:v>source_provided</x:v>
      </x:c>
      <x:c r="I41" s="14" t="str">
        <x:v>微分的应用甲部.mmd.zip</x:v>
      </x:c>
      <x:c r="J41" s="39" t="str">
        <x:v>audit_passed</x:v>
      </x:c>
      <x:c r="K41" s="41" t="str">
        <x:v>未批准</x:v>
      </x:c>
    </x:row>
    <x:row r="42">
      <x:c r="A42" s="14" t="str">
        <x:v>M2QD-DA-PARTA-Q17</x:v>
      </x:c>
      <x:c r="B42" s="14" t="str">
        <x:v>甲部特训</x:v>
      </x:c>
      <x:c r="C42" s="14" t="str">
        <x:v>PARTA-Q17</x:v>
      </x:c>
      <x:c r="D42" s="14" t="n">
        <x:v>8</x:v>
      </x:c>
      <x:c r="E42" s="14" t="n">
        <x:v>4</x:v>
      </x:c>
      <x:c r="F42" s="14" t="str">
        <x:v>综合微分应用</x:v>
      </x:c>
      <x:c r="G42" s="14" t="str">
        <x:v>相关变化率；面积变化；链式法则建模；建立变量关系；综合题目</x:v>
      </x:c>
      <x:c r="H42" s="14" t="str">
        <x:v>source_provided</x:v>
      </x:c>
      <x:c r="I42" s="14" t="str">
        <x:v>微分的应用甲部.mmd.zip</x:v>
      </x:c>
      <x:c r="J42" s="39" t="str">
        <x:v>audit_passed</x:v>
      </x:c>
      <x:c r="K42" s="41" t="str">
        <x:v>未批准</x:v>
      </x:c>
    </x:row>
    <x:row r="43">
      <x:c r="A43" s="14" t="str">
        <x:v>M2QD-DA-PARTB-Q1</x:v>
      </x:c>
      <x:c r="B43" s="14" t="str">
        <x:v>乙部特训</x:v>
      </x:c>
      <x:c r="C43" s="14" t="str">
        <x:v>PARTB-Q1</x:v>
      </x:c>
      <x:c r="D43" s="14" t="n">
        <x:v>13</x:v>
      </x:c>
      <x:c r="E43" s="14" t="n">
        <x:v>4</x:v>
      </x:c>
      <x:c r="F43" s="14" t="str">
        <x:v>极值与曲线性质</x:v>
      </x:c>
      <x:c r="G43" s="14" t="str">
        <x:v>驻点；极大点；极小点；一阶导数判别法；拐点；渐近线；曲线作图；综合题目</x:v>
      </x:c>
      <x:c r="H43" s="14" t="str">
        <x:v>source_provided</x:v>
      </x:c>
      <x:c r="I43" s="14" t="str">
        <x:v>微分应用乙部答案.mmd.zip</x:v>
      </x:c>
      <x:c r="J43" s="39" t="str">
        <x:v>audit_passed</x:v>
      </x:c>
      <x:c r="K43" s="41" t="str">
        <x:v>未批准</x:v>
      </x:c>
    </x:row>
    <x:row r="44">
      <x:c r="A44" s="14" t="str">
        <x:v>M2QD-DA-PARTB-Q2</x:v>
      </x:c>
      <x:c r="B44" s="14" t="str">
        <x:v>乙部特训</x:v>
      </x:c>
      <x:c r="C44" s="14" t="str">
        <x:v>PARTB-Q2</x:v>
      </x:c>
      <x:c r="D44" s="14" t="n">
        <x:v>14</x:v>
      </x:c>
      <x:c r="E44" s="14" t="n">
        <x:v>4</x:v>
      </x:c>
      <x:c r="F44" s="14" t="str">
        <x:v>极值与曲线性质</x:v>
      </x:c>
      <x:c r="G44" s="14" t="str">
        <x:v>渐近线；曲线作图；综合题目</x:v>
      </x:c>
      <x:c r="H44" s="14" t="str">
        <x:v>source_provided</x:v>
      </x:c>
      <x:c r="I44" s="14" t="str">
        <x:v>微分应用乙部答案.mmd.zip</x:v>
      </x:c>
      <x:c r="J44" s="39" t="str">
        <x:v>audit_passed</x:v>
      </x:c>
      <x:c r="K44" s="41" t="str">
        <x:v>未批准</x:v>
      </x:c>
    </x:row>
    <x:row r="45">
      <x:c r="A45" s="14" t="str">
        <x:v>M2QD-DA-PARTB-Q3</x:v>
      </x:c>
      <x:c r="B45" s="14" t="str">
        <x:v>乙部特训</x:v>
      </x:c>
      <x:c r="C45" s="14" t="str">
        <x:v>PARTB-Q3</x:v>
      </x:c>
      <x:c r="D45" s="14" t="n">
        <x:v>13</x:v>
      </x:c>
      <x:c r="E45" s="14" t="n">
        <x:v>4</x:v>
      </x:c>
      <x:c r="F45" s="14" t="str">
        <x:v>极值与曲线性质</x:v>
      </x:c>
      <x:c r="G45" s="14" t="str">
        <x:v>驻点；极大点；极小点；一阶导数判别法；拐点；渐近线；曲线作图；综合题目</x:v>
      </x:c>
      <x:c r="H45" s="14" t="str">
        <x:v>source_provided</x:v>
      </x:c>
      <x:c r="I45" s="14" t="str">
        <x:v>微分应用乙部答案.mmd.zip</x:v>
      </x:c>
      <x:c r="J45" s="39" t="str">
        <x:v>audit_passed</x:v>
      </x:c>
      <x:c r="K45" s="41" t="str">
        <x:v>未批准</x:v>
      </x:c>
    </x:row>
    <x:row r="46">
      <x:c r="A46" s="14" t="str">
        <x:v>M2QD-DA-PARTB-Q4</x:v>
      </x:c>
      <x:c r="B46" s="14" t="str">
        <x:v>乙部特训</x:v>
      </x:c>
      <x:c r="C46" s="14" t="str">
        <x:v>PARTB-Q4</x:v>
      </x:c>
      <x:c r="D46" s="14" t="n">
        <x:v>13</x:v>
      </x:c>
      <x:c r="E46" s="14" t="n">
        <x:v>5</x:v>
      </x:c>
      <x:c r="F46" s="14" t="str">
        <x:v>变率</x:v>
      </x:c>
      <x:c r="G46" s="14" t="str">
        <x:v>相关变化率；几何量变化；链式法则建模；隐函数求导；建立变量关系；综合题目</x:v>
      </x:c>
      <x:c r="H46" s="14" t="str">
        <x:v>source_provided</x:v>
      </x:c>
      <x:c r="I46" s="14" t="str">
        <x:v>微分应用乙部答案.mmd.zip</x:v>
      </x:c>
      <x:c r="J46" s="39" t="str">
        <x:v>audit_passed</x:v>
      </x:c>
      <x:c r="K46" s="41" t="str">
        <x:v>未批准</x:v>
      </x:c>
    </x:row>
    <x:row r="47">
      <x:c r="A47" s="14" t="str">
        <x:v>M2QD-DA-PARTB-Q5</x:v>
      </x:c>
      <x:c r="B47" s="14" t="str">
        <x:v>乙部特训</x:v>
      </x:c>
      <x:c r="C47" s="14" t="str">
        <x:v>PARTB-Q5</x:v>
      </x:c>
      <x:c r="D47" s="14" t="n">
        <x:v>12</x:v>
      </x:c>
      <x:c r="E47" s="14" t="n">
        <x:v>5</x:v>
      </x:c>
      <x:c r="F47" s="14" t="str">
        <x:v>综合微分应用</x:v>
      </x:c>
      <x:c r="G47" s="14" t="str">
        <x:v>区间最值；几何最优化；相关变化率；面积变化；链式法则建模；建立变量关系；综合题目</x:v>
      </x:c>
      <x:c r="H47" s="14" t="str">
        <x:v>source_provided</x:v>
      </x:c>
      <x:c r="I47" s="14" t="str">
        <x:v>微分应用乙部答案.mmd.zip</x:v>
      </x:c>
      <x:c r="J47" s="39" t="str">
        <x:v>audit_passed</x:v>
      </x:c>
      <x:c r="K47" s="41" t="str">
        <x:v>未批准</x:v>
      </x:c>
    </x:row>
    <x:row r="48">
      <x:c r="A48" s="14" t="str">
        <x:v>M2QD-DA-PARTB-Q6</x:v>
      </x:c>
      <x:c r="B48" s="14" t="str">
        <x:v>乙部特训</x:v>
      </x:c>
      <x:c r="C48" s="14" t="str">
        <x:v>PARTB-Q6</x:v>
      </x:c>
      <x:c r="D48" s="14" t="n">
        <x:v>13</x:v>
      </x:c>
      <x:c r="E48" s="14" t="n">
        <x:v>5</x:v>
      </x:c>
      <x:c r="F48" s="14" t="str">
        <x:v>综合微分应用</x:v>
      </x:c>
      <x:c r="G48" s="14" t="str">
        <x:v>几何最优化；相关变化率；几何量变化；链式法则建模；建立变量关系；综合题目</x:v>
      </x:c>
      <x:c r="H48" s="14" t="str">
        <x:v>source_provided</x:v>
      </x:c>
      <x:c r="I48" s="14" t="str">
        <x:v>微分应用乙部答案.mmd.zip</x:v>
      </x:c>
      <x:c r="J48" s="39" t="str">
        <x:v>audit_passed</x:v>
      </x:c>
      <x:c r="K48" s="41" t="str">
        <x:v>未批准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209aeebe23145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2" hidden="0" customWidth="1"/>
    <x:col min="4" max="4" width="3" hidden="0" customWidth="1"/>
    <x:col min="5" max="5" width="8" hidden="0" customWidth="1"/>
    <x:col min="6" max="6" width="46" hidden="0" customWidth="1"/>
    <x:col min="7" max="7" width="42" hidden="0" customWidth="1"/>
    <x:col min="8" max="8" width="20" hidden="0" customWidth="1"/>
  </x:cols>
  <x:sheetData>
    <x:row r="1" ht="34" customHeight="1">
      <x:c r="A1" s="4" t="str">
        <x:v>微分应用受控标签 V1.1 与 Joy Level 1–5</x:v>
      </x:c>
      <x:c r="B1" s="4" t="str">
        <x:v>微分应用受控标签 V1.1 与 Joy Level 1–5</x:v>
      </x:c>
      <x:c r="C1" s="4" t="str">
        <x:v>微分应用受控标签 V1.1 与 Joy Level 1–5</x:v>
      </x:c>
      <x:c r="D1" s="4" t="str">
        <x:v>微分应用受控标签 V1.1 与 Joy Level 1–5</x:v>
      </x:c>
      <x:c r="E1" s="4" t="str">
        <x:v>微分应用受控标签 V1.1 与 Joy Level 1–5</x:v>
      </x:c>
      <x:c r="F1" s="4" t="str">
        <x:v>微分应用受控标签 V1.1 与 Joy Level 1–5</x:v>
      </x:c>
      <x:c r="G1" s="4" t="str">
        <x:v>微分应用受控标签 V1.1 与 Joy Level 1–5</x:v>
      </x:c>
      <x:c r="H1" s="4" t="str">
        <x:v>微分应用受控标签 V1.1 与 Joy Level 1–5</x:v>
      </x:c>
    </x:row>
    <x:row r="3" ht="30" customHeight="1">
      <x:c r="A3" s="35" t="str">
        <x:v>序号</x:v>
      </x:c>
      <x:c r="B3" s="36" t="str">
        <x:v>细分标签</x:v>
      </x:c>
      <x:c r="C3" s="37" t="str">
        <x:v>使用原则</x:v>
      </x:c>
      <x:c r="E3" s="35" t="str">
        <x:v>Level</x:v>
      </x:c>
      <x:c r="F3" s="36" t="str">
        <x:v>判定标准</x:v>
      </x:c>
      <x:c r="G3" s="36" t="str">
        <x:v>典型表现</x:v>
      </x:c>
      <x:c r="H3" s="37" t="str">
        <x:v>辅助分参考</x:v>
      </x:c>
    </x:row>
    <x:row r="4">
      <x:c r="A4" s="14" t="n">
        <x:v>1</x:v>
      </x:c>
      <x:c r="B4" s="14" t="str">
        <x:v>已知切点求切线</x:v>
      </x:c>
      <x:c r="C4" s="14" t="str">
        <x:v>只标题目明确要求的能力</x:v>
      </x:c>
      <x:c r="E4" s="14" t="n">
        <x:v>1</x:v>
      </x:c>
      <x:c r="F4" s="14" t="str">
        <x:v>单一步骤、直接套用；对象和方法均明确。</x:v>
      </x:c>
      <x:c r="G4" s="14" t="str">
        <x:v>已知切点，直接求导并写切线。</x:v>
      </x:c>
      <x:c r="H4" s="14" t="str">
        <x:v>辅助六维总分通常为0–2。</x:v>
      </x:c>
    </x:row>
    <x:row r="5">
      <x:c r="A5" s="14" t="n">
        <x:v>2</x:v>
      </x:c>
      <x:c r="B5" s="14" t="str">
        <x:v>过指定点的切线</x:v>
      </x:c>
      <x:c r="C5" s="14" t="str">
        <x:v>只标题目明确要求的能力</x:v>
      </x:c>
      <x:c r="E5" s="14" t="n">
        <x:v>2</x:v>
      </x:c>
      <x:c r="F5" s="14" t="str">
        <x:v>2–3个常规步骤；需一次基础判断或代入。</x:v>
      </x:c>
      <x:c r="G5" s="14" t="str">
        <x:v>求驻点并用给定方法分类；直接相关变率。</x:v>
      </x:c>
      <x:c r="H5" s="14" t="str">
        <x:v>辅助六维总分通常为3–5。</x:v>
      </x:c>
    </x:row>
    <x:row r="6">
      <x:c r="A6" s="14" t="n">
        <x:v>3</x:v>
      </x:c>
      <x:c r="B6" s="14" t="str">
        <x:v>与指定直线平行的切线</x:v>
      </x:c>
      <x:c r="C6" s="14" t="str">
        <x:v>只标题目明确要求的能力</x:v>
      </x:c>
      <x:c r="E6" s="14" t="n">
        <x:v>3</x:v>
      </x:c>
      <x:c r="F6" s="14" t="str">
        <x:v>多步骤标准DSE题；需选择方法或组织多个小问。</x:v>
      </x:c>
      <x:c r="G6" s="14" t="str">
        <x:v>过指定点求切线；极值与拐点连续考查；基本建模变率。</x:v>
      </x:c>
      <x:c r="H6" s="14" t="str">
        <x:v>辅助六维总分通常为6–7。</x:v>
      </x:c>
    </x:row>
    <x:row r="7">
      <x:c r="A7" s="14" t="n">
        <x:v>4</x:v>
      </x:c>
      <x:c r="B7" s="14" t="str">
        <x:v>切点未知</x:v>
      </x:c>
      <x:c r="C7" s="14" t="str">
        <x:v>只标题目明确要求的能力</x:v>
      </x:c>
      <x:c r="E7" s="14" t="n">
        <x:v>4</x:v>
      </x:c>
      <x:c r="F7" s="14" t="str">
        <x:v>需非直接建模、关键转换或多概念整合；错误路径明显。</x:v>
      </x:c>
      <x:c r="G7" s="14" t="str">
        <x:v>未知切点且有参数；几何最优化；复杂变量关系变率。</x:v>
      </x:c>
      <x:c r="H7" s="14" t="str">
        <x:v>辅助六维总分通常为8–10。</x:v>
      </x:c>
    </x:row>
    <x:row r="8">
      <x:c r="A8" s="14" t="n">
        <x:v>5</x:v>
      </x:c>
      <x:c r="B8" s="14" t="str">
        <x:v>已知切点求法线</x:v>
      </x:c>
      <x:c r="C8" s="14" t="str">
        <x:v>只标题目明确要求的能力</x:v>
      </x:c>
      <x:c r="E8" s="14" t="n">
        <x:v>5</x:v>
      </x:c>
      <x:c r="F8" s="14" t="str">
        <x:v>高度综合、洞察性强或推导链长；需自主构造核心关系并验证条件。</x:v>
      </x:c>
      <x:c r="G8" s="14" t="str">
        <x:v>限制条件复杂的最优化/变率；曲线全局分析与证明结合。</x:v>
      </x:c>
      <x:c r="H8" s="14" t="str">
        <x:v>辅助六维总分通常为11–12；不能仅因计算繁琐判L5。</x:v>
      </x:c>
    </x:row>
    <x:row r="9">
      <x:c r="A9" s="14" t="n">
        <x:v>6</x:v>
      </x:c>
      <x:c r="B9" s="14" t="str">
        <x:v>切点未知求法线</x:v>
      </x:c>
      <x:c r="C9" s="14" t="str">
        <x:v>只标题目明确要求的能力</x:v>
      </x:c>
    </x:row>
    <x:row r="10">
      <x:c r="A10" s="14" t="n">
        <x:v>7</x:v>
      </x:c>
      <x:c r="B10" s="14" t="str">
        <x:v>驻点</x:v>
      </x:c>
      <x:c r="C10" s="14" t="str">
        <x:v>只标题目明确要求的能力</x:v>
      </x:c>
    </x:row>
    <x:row r="11">
      <x:c r="A11" s="14" t="n">
        <x:v>8</x:v>
      </x:c>
      <x:c r="B11" s="14" t="str">
        <x:v>极大点</x:v>
      </x:c>
      <x:c r="C11" s="14" t="str">
        <x:v>只标题目明确要求的能力</x:v>
      </x:c>
    </x:row>
    <x:row r="12">
      <x:c r="A12" s="14" t="n">
        <x:v>9</x:v>
      </x:c>
      <x:c r="B12" s="14" t="str">
        <x:v>极小点</x:v>
      </x:c>
      <x:c r="C12" s="14" t="str">
        <x:v>只标题目明确要求的能力</x:v>
      </x:c>
    </x:row>
    <x:row r="13">
      <x:c r="A13" s="14" t="n">
        <x:v>10</x:v>
      </x:c>
      <x:c r="B13" s="14" t="str">
        <x:v>一阶导数判别法</x:v>
      </x:c>
      <x:c r="C13" s="14" t="str">
        <x:v>只标题目明确要求的能力</x:v>
      </x:c>
    </x:row>
    <x:row r="14">
      <x:c r="A14" s="14" t="n">
        <x:v>11</x:v>
      </x:c>
      <x:c r="B14" s="14" t="str">
        <x:v>二阶导数判别法</x:v>
      </x:c>
      <x:c r="C14" s="14" t="str">
        <x:v>只标题目明确要求的能力</x:v>
      </x:c>
    </x:row>
    <x:row r="15">
      <x:c r="A15" s="14" t="n">
        <x:v>12</x:v>
      </x:c>
      <x:c r="B15" s="14" t="str">
        <x:v>拐点</x:v>
      </x:c>
      <x:c r="C15" s="14" t="str">
        <x:v>只标题目明确要求的能力</x:v>
      </x:c>
    </x:row>
    <x:row r="16">
      <x:c r="A16" s="14" t="n">
        <x:v>13</x:v>
      </x:c>
      <x:c r="B16" s="14" t="str">
        <x:v>凹凸性</x:v>
      </x:c>
      <x:c r="C16" s="14" t="str">
        <x:v>只标题目明确要求的能力</x:v>
      </x:c>
    </x:row>
    <x:row r="17">
      <x:c r="A17" s="14" t="n">
        <x:v>14</x:v>
      </x:c>
      <x:c r="B17" s="14" t="str">
        <x:v>渐近线</x:v>
      </x:c>
      <x:c r="C17" s="14" t="str">
        <x:v>只标题目明确要求的能力</x:v>
      </x:c>
    </x:row>
    <x:row r="18">
      <x:c r="A18" s="14" t="n">
        <x:v>15</x:v>
      </x:c>
      <x:c r="B18" s="14" t="str">
        <x:v>曲线作图</x:v>
      </x:c>
      <x:c r="C18" s="14" t="str">
        <x:v>只标题目明确要求的能力</x:v>
      </x:c>
    </x:row>
    <x:row r="19">
      <x:c r="A19" s="14" t="n">
        <x:v>16</x:v>
      </x:c>
      <x:c r="B19" s="14" t="str">
        <x:v>区间最值</x:v>
      </x:c>
      <x:c r="C19" s="14" t="str">
        <x:v>只标题目明确要求的能力</x:v>
      </x:c>
    </x:row>
    <x:row r="20">
      <x:c r="A20" s="14" t="n">
        <x:v>17</x:v>
      </x:c>
      <x:c r="B20" s="14" t="str">
        <x:v>端点比较</x:v>
      </x:c>
      <x:c r="C20" s="14" t="str">
        <x:v>只标题目明确要求的能力</x:v>
      </x:c>
    </x:row>
    <x:row r="21">
      <x:c r="A21" s="14" t="n">
        <x:v>18</x:v>
      </x:c>
      <x:c r="B21" s="14" t="str">
        <x:v>几何最优化</x:v>
      </x:c>
      <x:c r="C21" s="14" t="str">
        <x:v>只标题目明确要求的能力</x:v>
      </x:c>
    </x:row>
    <x:row r="22">
      <x:c r="A22" s="14" t="n">
        <x:v>19</x:v>
      </x:c>
      <x:c r="B22" s="14" t="str">
        <x:v>实际情境最优化</x:v>
      </x:c>
      <x:c r="C22" s="14" t="str">
        <x:v>只标题目明确要求的能力</x:v>
      </x:c>
    </x:row>
    <x:row r="23">
      <x:c r="A23" s="14" t="n">
        <x:v>20</x:v>
      </x:c>
      <x:c r="B23" s="14" t="str">
        <x:v>相关变化率</x:v>
      </x:c>
      <x:c r="C23" s="14" t="str">
        <x:v>只标题目明确要求的能力</x:v>
      </x:c>
    </x:row>
    <x:row r="24">
      <x:c r="A24" s="14" t="n">
        <x:v>21</x:v>
      </x:c>
      <x:c r="B24" s="14" t="str">
        <x:v>运动学</x:v>
      </x:c>
      <x:c r="C24" s="14" t="str">
        <x:v>只标题目明确要求的能力</x:v>
      </x:c>
    </x:row>
    <x:row r="25">
      <x:c r="A25" s="14" t="n">
        <x:v>22</x:v>
      </x:c>
      <x:c r="B25" s="14" t="str">
        <x:v>几何量变化</x:v>
      </x:c>
      <x:c r="C25" s="14" t="str">
        <x:v>只标题目明确要求的能力</x:v>
      </x:c>
    </x:row>
    <x:row r="26">
      <x:c r="A26" s="14" t="n">
        <x:v>23</x:v>
      </x:c>
      <x:c r="B26" s="14" t="str">
        <x:v>体积变化</x:v>
      </x:c>
      <x:c r="C26" s="14" t="str">
        <x:v>只标题目明确要求的能力</x:v>
      </x:c>
    </x:row>
    <x:row r="27">
      <x:c r="A27" s="14" t="n">
        <x:v>24</x:v>
      </x:c>
      <x:c r="B27" s="14" t="str">
        <x:v>面积变化</x:v>
      </x:c>
      <x:c r="C27" s="14" t="str">
        <x:v>只标题目明确要求的能力</x:v>
      </x:c>
    </x:row>
    <x:row r="28">
      <x:c r="A28" s="14" t="n">
        <x:v>25</x:v>
      </x:c>
      <x:c r="B28" s="14" t="str">
        <x:v>链式法则建模</x:v>
      </x:c>
      <x:c r="C28" s="14" t="str">
        <x:v>只标题目明确要求的能力</x:v>
      </x:c>
    </x:row>
    <x:row r="29">
      <x:c r="A29" s="14" t="n">
        <x:v>26</x:v>
      </x:c>
      <x:c r="B29" s="14" t="str">
        <x:v>隐函数求导</x:v>
      </x:c>
      <x:c r="C29" s="14" t="str">
        <x:v>只标题目明确要求的能力</x:v>
      </x:c>
    </x:row>
    <x:row r="30">
      <x:c r="A30" s="14" t="n">
        <x:v>27</x:v>
      </x:c>
      <x:c r="B30" s="14" t="str">
        <x:v>参数方程</x:v>
      </x:c>
      <x:c r="C30" s="14" t="str">
        <x:v>只标题目明确要求的能力</x:v>
      </x:c>
    </x:row>
    <x:row r="31">
      <x:c r="A31" s="14" t="n">
        <x:v>28</x:v>
      </x:c>
      <x:c r="B31" s="14" t="str">
        <x:v>建立变量关系</x:v>
      </x:c>
      <x:c r="C31" s="14" t="str">
        <x:v>只标题目明确要求的能力</x:v>
      </x:c>
    </x:row>
    <x:row r="32">
      <x:c r="A32" s="14" t="n">
        <x:v>29</x:v>
      </x:c>
      <x:c r="B32" s="14" t="str">
        <x:v>综合题目</x:v>
      </x:c>
      <x:c r="C32" s="14" t="str">
        <x:v>只标题目明确要求的能力</x:v>
      </x:c>
    </x:row>
    <x:row r="33">
      <x:c r="A33" s="14" t="n">
        <x:v>30</x:v>
      </x:c>
      <x:c r="B33" s="14" t="str">
        <x:v>全局最小值</x:v>
      </x:c>
      <x:c r="C33" s="14" t="str">
        <x:v>只标题目明确要求的能力</x:v>
      </x:c>
    </x:row>
    <x:row r="34">
      <x:c r="A34" s="14" t="n">
        <x:v>31</x:v>
      </x:c>
      <x:c r="B34" s="14" t="str">
        <x:v>从基本原理求导</x:v>
      </x:c>
      <x:c r="C34" s="14" t="str">
        <x:v>只标题目明确要求的能力</x:v>
      </x:c>
    </x:row>
    <x:row r="35">
      <x:c r="A35" s="14" t="n">
        <x:v>32</x:v>
      </x:c>
      <x:c r="B35" s="14" t="str">
        <x:v>导数为正区间</x:v>
      </x:c>
      <x:c r="C35" s="14" t="str">
        <x:v>只标题目明确要求的能力</x:v>
      </x:c>
    </x:row>
    <x:row r="36">
      <x:c r="A36" s="44" t="str">
        <x:v>V1.1新增：全局最小值、从基本原理求导、导数为正区间</x:v>
      </x:c>
      <x:c r="B36" s="44"/>
      <x:c r="C36" s="44"/>
    </x:row>
  </x:sheetData>
  <x:mergeCells>
    <x:mergeCell ref="A1:H1"/>
    <x:mergeCell ref="A36:C36"/>
  </x:mergeCells>
  <x:pageMargins left="0.7" right="0.7" top="0.75" bottom="0.75" header="0.3" footer="0.3"/>
  <x:tableParts count="2">
    <x:tablePart xmlns:r="http://schemas.openxmlformats.org/officeDocument/2006/relationships" r:id="Ra98f81c68296489a"/>
    <x:tablePart xmlns:r="http://schemas.openxmlformats.org/officeDocument/2006/relationships" r:id="Rbbd88b1e08784b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4" t="str">
        <x:v>Task 4 自动验收与边界</x:v>
      </x:c>
      <x:c r="B1" s="4" t="str">
        <x:v>Task 4 自动验收与边界</x:v>
      </x:c>
      <x:c r="C1" s="4" t="str">
        <x:v>Task 4 自动验收与边界</x:v>
      </x:c>
      <x:c r="D1" s="4" t="str">
        <x:v>Task 4 自动验收与边界</x:v>
      </x:c>
      <x:c r="E1" s="4" t="str">
        <x:v>Task 4 自动验收与边界</x:v>
      </x:c>
      <x:c r="F1" s="4" t="str">
        <x:v>Task 4 自动验收与边界</x:v>
      </x:c>
    </x:row>
    <x:row r="3" ht="30" customHeight="1">
      <x:c r="A3" s="35" t="str">
        <x:v>项目</x:v>
      </x:c>
      <x:c r="B3" s="37" t="str">
        <x:v>结果</x:v>
      </x:c>
    </x:row>
    <x:row r="4">
      <x:c r="A4" s="14" t="str">
        <x:v>验收状态</x:v>
      </x:c>
      <x:c r="B4" s="39" t="str">
        <x:v>TECHNICALLY_READY_FOR_JOY_APPROVAL</x:v>
      </x:c>
    </x:row>
    <x:row r="5">
      <x:c r="A5" s="14" t="str">
        <x:v>完整题</x:v>
      </x:c>
      <x:c r="B5" s="39" t="n">
        <x:v>45</x:v>
      </x:c>
    </x:row>
    <x:row r="6">
      <x:c r="A6" s="14" t="str">
        <x:v>audit_passed</x:v>
      </x:c>
      <x:c r="B6" s="39" t="n">
        <x:v>45</x:v>
      </x:c>
    </x:row>
    <x:row r="7">
      <x:c r="A7" s="14" t="str">
        <x:v>P0</x:v>
      </x:c>
      <x:c r="B7" s="39" t="n">
        <x:v>0</x:v>
      </x:c>
    </x:row>
    <x:row r="8">
      <x:c r="A8" s="14" t="str">
        <x:v>P1</x:v>
      </x:c>
      <x:c r="B8" s="39" t="n">
        <x:v>0</x:v>
      </x:c>
    </x:row>
    <x:row r="9">
      <x:c r="A9" s="14" t="str">
        <x:v>正式导入批准</x:v>
      </x:c>
      <x:c r="B9" s="41" t="str">
        <x:v>0（未批准）</x:v>
      </x:c>
    </x:row>
    <x:row r="11">
      <x:c r="A11" s="6" t="str">
        <x:v>边界说明</x:v>
      </x:c>
      <x:c r="B11" s="6"/>
      <x:c r="C11" s="6"/>
      <x:c r="D11" s="6"/>
      <x:c r="E11" s="6"/>
      <x:c r="F11" s="6"/>
    </x:row>
    <x:row r="12">
      <x:c r="A12" s="48" t="str">
        <x:v>Task 4仅关闭技术审计项；仍需Joy明确批准后才能生成正式导入候选。 正式SQLite/CSV及Task 3输入均未修改。</x:v>
      </x:c>
      <x:c r="B12" s="48"/>
      <x:c r="C12" s="48"/>
      <x:c r="D12" s="48"/>
      <x:c r="E12" s="48"/>
      <x:c r="F12" s="48"/>
    </x:row>
    <x:row r="13">
      <x:c r="A13" s="48"/>
      <x:c r="B13" s="48"/>
      <x:c r="C13" s="48"/>
      <x:c r="D13" s="48"/>
      <x:c r="E13" s="48"/>
      <x:c r="F13" s="48"/>
    </x:row>
    <x:row r="15">
      <x:c r="A15" s="6" t="str">
        <x:v>已知基线限制</x:v>
      </x:c>
      <x:c r="B15" s="6"/>
      <x:c r="C15" s="6"/>
      <x:c r="D15" s="6"/>
      <x:c r="E15" s="6"/>
      <x:c r="F15" s="6"/>
    </x:row>
    <x:row r="16">
      <x:c r="A16" s="52" t="str">
        <x:v>Task 3 ZIP 未包含 test_audit_package.py 所依赖的 build_audit_package.py，因此其19项基础测试无法从交付包独立复跑；Task 4采用自包含测试与验证器，不把该旧包缺口计为题目数据失败。</x:v>
      </x:c>
      <x:c r="B16" s="52"/>
      <x:c r="C16" s="52"/>
      <x:c r="D16" s="52"/>
      <x:c r="E16" s="52"/>
      <x:c r="F16" s="52"/>
    </x:row>
    <x:row r="17">
      <x:c r="A17" s="52"/>
      <x:c r="B17" s="52"/>
      <x:c r="C17" s="52"/>
      <x:c r="D17" s="52"/>
      <x:c r="E17" s="52"/>
      <x:c r="F17" s="52"/>
    </x:row>
    <x:row r="18">
      <x:c r="A18" s="52"/>
      <x:c r="B18" s="52"/>
      <x:c r="C18" s="52"/>
      <x:c r="D18" s="52"/>
      <x:c r="E18" s="52"/>
      <x:c r="F18" s="52"/>
    </x:row>
  </x:sheetData>
  <x:mergeCells>
    <x:mergeCell ref="A1:F1"/>
    <x:mergeCell ref="A11:F11"/>
    <x:mergeCell ref="A12:F13"/>
    <x:mergeCell ref="A15:F15"/>
    <x:mergeCell ref="A16:F18"/>
  </x:mergeCells>
  <x:pageMargins left="0.7" right="0.7" top="0.75" bottom="0.75" header="0.3" footer="0.3"/>
</x:worksheet>
</file>